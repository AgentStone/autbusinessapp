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skyf\OneDrive\Code\Aut Business\"/>
    </mc:Choice>
  </mc:AlternateContent>
  <xr:revisionPtr revIDLastSave="0" documentId="13_ncr:1_{C04C4E9B-8499-48ED-88DA-27DE889796F0}" xr6:coauthVersionLast="47" xr6:coauthVersionMax="47" xr10:uidLastSave="{00000000-0000-0000-0000-000000000000}"/>
  <bookViews>
    <workbookView xWindow="-108" yWindow="-108" windowWidth="23256" windowHeight="12456" firstSheet="1" activeTab="12" xr2:uid="{FDE7BB4F-72DD-478C-ABA9-AE831CD4E521}"/>
  </bookViews>
  <sheets>
    <sheet name="Practice Status" sheetId="23" r:id="rId1"/>
    <sheet name="Practice Roster" sheetId="22" r:id="rId2"/>
    <sheet name="Practice Synthesis" sheetId="21" r:id="rId3"/>
    <sheet name="Practice Responses" sheetId="20" r:id="rId4"/>
    <sheet name="Practice Guide" sheetId="19" r:id="rId5"/>
    <sheet name="Interview Synthesis" sheetId="18" r:id="rId6"/>
    <sheet name="Interview Log" sheetId="17" r:id="rId7"/>
    <sheet name="Ongoing" sheetId="16" r:id="rId8"/>
    <sheet name="Pending" sheetId="15" r:id="rId9"/>
    <sheet name="Completed" sheetId="14" r:id="rId10"/>
    <sheet name="Pivot Tables" sheetId="3" r:id="rId11"/>
    <sheet name="Task Register" sheetId="2" r:id="rId12"/>
    <sheet name="Update Guide" sheetId="25" r:id="rId13"/>
    <sheet name="Phase Tracker" sheetId="24" r:id="rId14"/>
    <sheet name="Overview" sheetId="1" r:id="rId15"/>
  </sheets>
  <calcPr calcId="191029" forceFullCalc="1"/>
  <pivotCaches>
    <pivotCache cacheId="12"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11" i="24" l="1"/>
  <c r="F11" i="24"/>
  <c r="G11" i="24" s="1"/>
  <c r="E11" i="24"/>
  <c r="D11" i="24"/>
  <c r="C11" i="24"/>
  <c r="B11" i="24"/>
  <c r="H10" i="24"/>
  <c r="F10" i="24"/>
  <c r="G10" i="24" s="1"/>
  <c r="E10" i="24"/>
  <c r="D10" i="24"/>
  <c r="C10" i="24"/>
  <c r="B10" i="24"/>
  <c r="H9" i="24"/>
  <c r="F9" i="24"/>
  <c r="G9" i="24" s="1"/>
  <c r="E9" i="24"/>
  <c r="D9" i="24"/>
  <c r="C9" i="24"/>
  <c r="B9" i="24"/>
  <c r="H8" i="24"/>
  <c r="F8" i="24"/>
  <c r="G8" i="24" s="1"/>
  <c r="E8" i="24"/>
  <c r="D8" i="24"/>
  <c r="C8" i="24"/>
  <c r="B8" i="24"/>
  <c r="H7" i="24"/>
  <c r="F7" i="24"/>
  <c r="G7" i="24" s="1"/>
  <c r="E7" i="24"/>
  <c r="D7" i="24"/>
  <c r="C7" i="24"/>
  <c r="B7" i="24"/>
  <c r="H6" i="24"/>
  <c r="F6" i="24"/>
  <c r="G6" i="24" s="1"/>
  <c r="E6" i="24"/>
  <c r="D6" i="24"/>
  <c r="C6" i="24"/>
  <c r="B6" i="24"/>
  <c r="H5" i="24"/>
  <c r="F5" i="24"/>
  <c r="G5" i="24" s="1"/>
  <c r="E5" i="24"/>
  <c r="D5" i="24"/>
  <c r="C5" i="24"/>
  <c r="B5" i="24"/>
  <c r="F14" i="18"/>
  <c r="D14" i="18"/>
  <c r="B14" i="18" s="1"/>
  <c r="F13" i="18"/>
  <c r="D13" i="18"/>
  <c r="B13" i="18" s="1"/>
  <c r="F12" i="18"/>
  <c r="D12" i="18"/>
  <c r="B12" i="18" s="1"/>
  <c r="F11" i="18"/>
  <c r="D11" i="18"/>
  <c r="B11" i="18" s="1"/>
  <c r="F10" i="18"/>
  <c r="D10" i="18"/>
  <c r="B10" i="18" s="1"/>
  <c r="F9" i="18"/>
  <c r="D9" i="18"/>
  <c r="B9" i="18" s="1"/>
  <c r="F8" i="18"/>
  <c r="D8" i="18"/>
  <c r="B8" i="18" s="1"/>
  <c r="F7" i="18"/>
  <c r="D7" i="18"/>
  <c r="B7" i="18" s="1"/>
  <c r="D3" i="18"/>
  <c r="H3" i="17"/>
  <c r="B3" i="17"/>
  <c r="F3" i="17" s="1"/>
  <c r="D27" i="3"/>
  <c r="C27" i="3"/>
  <c r="B27" i="3"/>
  <c r="E27" i="3" s="1"/>
  <c r="D26" i="3"/>
  <c r="C26" i="3"/>
  <c r="B26" i="3"/>
  <c r="E26" i="3" s="1"/>
  <c r="D25" i="3"/>
  <c r="C25" i="3"/>
  <c r="B25" i="3"/>
  <c r="E25" i="3" s="1"/>
  <c r="D24" i="3"/>
  <c r="C24" i="3"/>
  <c r="B24" i="3"/>
  <c r="E24" i="3" s="1"/>
  <c r="D23" i="3"/>
  <c r="C23" i="3"/>
  <c r="B23" i="3"/>
  <c r="E23" i="3" s="1"/>
  <c r="D22" i="3"/>
  <c r="C22" i="3"/>
  <c r="B22" i="3"/>
  <c r="E22" i="3" s="1"/>
  <c r="D21" i="3"/>
  <c r="C21" i="3"/>
  <c r="B21" i="3"/>
  <c r="E21" i="3" s="1"/>
  <c r="D20" i="3"/>
  <c r="C20" i="3"/>
  <c r="B20" i="3"/>
  <c r="H2" i="2"/>
  <c r="H3" i="2"/>
  <c r="H4" i="2"/>
  <c r="H5" i="2"/>
  <c r="H6" i="2"/>
  <c r="H7" i="2"/>
  <c r="H8" i="2"/>
  <c r="H9" i="2"/>
  <c r="H10" i="2"/>
  <c r="H11" i="2"/>
  <c r="H12" i="2"/>
  <c r="H13" i="2"/>
  <c r="H14" i="2"/>
  <c r="H15" i="2"/>
  <c r="H5" i="15" s="1" a="1"/>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E6" i="1"/>
  <c r="E5" i="1"/>
  <c r="E7" i="1" s="1"/>
  <c r="H5" i="16" a="1"/>
  <c r="H5" i="16" s="1"/>
  <c r="A5" i="16" a="1"/>
  <c r="A5" i="16" s="1"/>
  <c r="A5" i="15" a="1"/>
  <c r="A5" i="15" s="1"/>
  <c r="H5" i="14" a="1"/>
  <c r="H5" i="14" s="1"/>
  <c r="A5" i="14" a="1"/>
  <c r="A5" i="14" s="1"/>
  <c r="B7" i="1"/>
  <c r="B6" i="1"/>
  <c r="B5" i="1"/>
  <c r="J10" i="24" l="1"/>
  <c r="J9" i="24"/>
  <c r="J11" i="24"/>
  <c r="J5" i="24"/>
  <c r="J7" i="24"/>
  <c r="J6" i="24"/>
  <c r="J8" i="24"/>
  <c r="H3" i="18"/>
  <c r="B3" i="18"/>
  <c r="F3" i="18" s="1"/>
  <c r="F21" i="3"/>
  <c r="F23" i="3"/>
  <c r="F26" i="3"/>
  <c r="F24" i="3"/>
  <c r="F22" i="3"/>
  <c r="F27" i="3"/>
  <c r="F25" i="3"/>
  <c r="F28" i="3"/>
  <c r="C28" i="3"/>
  <c r="D28" i="3"/>
  <c r="B28" i="3"/>
  <c r="E20" i="3"/>
  <c r="E28" i="3" s="1"/>
  <c r="F20" i="3"/>
  <c r="E3" i="16"/>
  <c r="B3" i="16"/>
  <c r="H5" i="15"/>
  <c r="E3" i="15" s="1"/>
  <c r="B3" i="15"/>
  <c r="E3" i="14"/>
  <c r="B3"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<sst xmlns="http://schemas.openxmlformats.org/spreadsheetml/2006/main" count="1332" uniqueCount="510">
  <si>
    <t>Task ID</t>
  </si>
  <si>
    <t>Phase</t>
  </si>
  <si>
    <t>Plan Step</t>
  </si>
  <si>
    <t>Task</t>
  </si>
  <si>
    <t>Status</t>
  </si>
  <si>
    <t>Progress</t>
  </si>
  <si>
    <t>Notes</t>
  </si>
  <si>
    <t>SETUP-01</t>
  </si>
  <si>
    <t>Project setup</t>
  </si>
  <si>
    <t>Completed deliverable</t>
  </si>
  <si>
    <t>Create the detailed seven-phase project plan and Microsoft Project-compatible schedule.</t>
  </si>
  <si>
    <t>Completed</t>
  </si>
  <si>
    <t>The plan and schedule have been created; this workbook provides the step-by-step status tracker.</t>
  </si>
  <si>
    <t>P1-S01</t>
  </si>
  <si>
    <t>Phase 1: Choose and validate the customer problem</t>
  </si>
  <si>
    <t>Step 1</t>
  </si>
  <si>
    <t>List the likely customer roles for the Application Review Kit, such as application security engineers and software teams.</t>
  </si>
  <si>
    <t>Pending</t>
  </si>
  <si>
    <t>Not yet confirmed as complete. Update this task in the Task Register as work progresses.</t>
  </si>
  <si>
    <t>P1-S02</t>
  </si>
  <si>
    <t>Step 2</t>
  </si>
  <si>
    <t>Choose one primary audience and describe its review workflow, current tools, and pain points.</t>
  </si>
  <si>
    <t>P1-S03</t>
  </si>
  <si>
    <t>Step 3</t>
  </si>
  <si>
    <t>Speak with 5â€“8 people who match that audience. Ask about their current process, where work slows down, what they already use, and what would make a toolkit useful.</t>
  </si>
  <si>
    <t>P1-S04</t>
  </si>
  <si>
    <t>Step 4</t>
  </si>
  <si>
    <t>Avoid pitching the proposed product during the first part of each conversation; learn how customers work today.</t>
  </si>
  <si>
    <t>P1-S05</t>
  </si>
  <si>
    <t>Step 5</t>
  </si>
  <si>
    <t>Summarize repeated needs, objections, existing alternatives, and language customers use.</t>
  </si>
  <si>
    <t>P1-S06</t>
  </si>
  <si>
    <t>Step 6</t>
  </si>
  <si>
    <t>Decide whether to proceed, revise the audience/problem, or test another toolkit idea.</t>
  </si>
  <si>
    <t>P2-S01</t>
  </si>
  <si>
    <t>Phase 2: Define the minimum useful toolkit</t>
  </si>
  <si>
    <t>Write a one-sentence product promise focused on a practical task, not a guaranteed security outcome.</t>
  </si>
  <si>
    <t>P2-S02</t>
  </si>
  <si>
    <t>Define the intended user, prerequisites, and situations where the toolkit is not suitable.</t>
  </si>
  <si>
    <t>P2-S03</t>
  </si>
  <si>
    <t>Select only the worksheets, checklists, and templates necessary to complete the task.</t>
  </si>
  <si>
    <t>P2-S04</t>
  </si>
  <si>
    <t>Describe the expected workflow: what the user provides, what they do with each resource, and what they finish with.</t>
  </si>
  <si>
    <t>P2-S05</t>
  </si>
  <si>
    <t>Choose the file formats based on how customers already work.</t>
  </si>
  <si>
    <t>P2-S06</t>
  </si>
  <si>
    <t>Identify any security, privacy, licensing, accessibility, or compatibility considerations.</t>
  </si>
  <si>
    <t>P3-S01</t>
  </si>
  <si>
    <t>Phase 3: Build and test a prototype</t>
  </si>
  <si>
    <t>Create a rough but complete prototype of the minimum useful toolkit.</t>
  </si>
  <si>
    <t>P3-S02</t>
  </si>
  <si>
    <t>Use fictional or sanitized examples; do not include customer confidential information.</t>
  </si>
  <si>
    <t>P3-S03</t>
  </si>
  <si>
    <t>Ask 3â€“5 target users to complete a realistic task with the prototype.</t>
  </si>
  <si>
    <t>P3-S04</t>
  </si>
  <si>
    <t>Observe where they hesitate, misunderstand instructions, or need information that is missing.</t>
  </si>
  <si>
    <t>P3-S05</t>
  </si>
  <si>
    <t>Ask what they would change, what they would not use, and what they expected to be included.</t>
  </si>
  <si>
    <t>P3-S06</t>
  </si>
  <si>
    <t>Revise the toolkit and repeat the test for any major workflow changes.</t>
  </si>
  <si>
    <t>P3-S07</t>
  </si>
  <si>
    <t>Step 7</t>
  </si>
  <si>
    <t>Check that examples are clearly labeled and do not imply guaranteed security, compliance, or business results.</t>
  </si>
  <si>
    <t>P4-S01</t>
  </si>
  <si>
    <t>Phase 4: Confirm the offer and price</t>
  </si>
  <si>
    <t>Finalize the deliverables, formats, version, setup requirements, and compatibility notes.</t>
  </si>
  <si>
    <t>P4-S02</t>
  </si>
  <si>
    <t>Estimate creation, maintenance, support, and delivery costs.</t>
  </si>
  <si>
    <t>P4-S03</t>
  </si>
  <si>
    <t>Ask target users about the value and price expectations; compare these with costs and alternatives.</t>
  </si>
  <si>
    <t>P4-S04</t>
  </si>
  <si>
    <t>Set an initial price only after confirming the product and delivery method.</t>
  </si>
  <si>
    <t>P4-S05</t>
  </si>
  <si>
    <t>Define what customers receive, how updates work, what support is included, and any usage limits.</t>
  </si>
  <si>
    <t>P4-S06</t>
  </si>
  <si>
    <t>Decide whether bundles make sense after the first individual toolkit is validated.</t>
  </si>
  <si>
    <t>P5-S01</t>
  </si>
  <si>
    <t>Phase 5: Prepare business and customer operations</t>
  </si>
  <si>
    <t>Choose an email/signup service before collecting customer addresses.</t>
  </si>
  <si>
    <t>Signup was intentionally deferred until a signup service/link is available; keep collection disabled.</t>
  </si>
  <si>
    <t>P5-S02</t>
  </si>
  <si>
    <t>Explain what information is collected, why it is collected, how it will be used, and how a person can unsubscribe or request removal.</t>
  </si>
  <si>
    <t>P5-S03</t>
  </si>
  <si>
    <t>Select a payment and delivery method before enabling checkout.</t>
  </si>
  <si>
    <t>P5-S04</t>
  </si>
  <si>
    <t>Prepare accurate contact, privacy, licensing, refund, support, and delivery information for the business model.</t>
  </si>
  <si>
    <t>P5-S05</t>
  </si>
  <si>
    <t>Confirm relevant tax, consumer-protection, and other legal obligations with qualified professionals where needed.</t>
  </si>
  <si>
    <t>P5-S06</t>
  </si>
  <si>
    <t>Create a process for customer questions, delivery issues, corrections, and product updates.</t>
  </si>
  <si>
    <t>P6-S01</t>
  </si>
  <si>
    <t>Phase 6: Update and test the website</t>
  </si>
  <si>
    <t>Replace concept descriptions with the validated audience, task, contents, and limitations.</t>
  </si>
  <si>
    <t>P6-S02</t>
  </si>
  <si>
    <t>Keep proposed information visibly labeled until it is confirmed; remove placeholder prices when they are no longer appropriate.</t>
  </si>
  <si>
    <t>Ongoing</t>
  </si>
  <si>
    <t>Concept availability and proposed-pricing labels are in place; update/remove placeholders once the offer and price are validated.</t>
  </si>
  <si>
    <t>P6-S03</t>
  </si>
  <si>
    <t>Make product previews clearly distinguish illustrative examples from actual downloadable deliverables.</t>
  </si>
  <si>
    <t>Previews are labeled as illustrative concepts, not downloadable products.</t>
  </si>
  <si>
    <t>P6-S04</t>
  </si>
  <si>
    <t>Keep toolkit search, category filters, and comparison instructions understandable and test them with users.</t>
  </si>
  <si>
    <t>Comparison instructions and the page jump link were clarified; target-user testing of search, filters, and comparison remains.</t>
  </si>
  <si>
    <t>P6-S05</t>
  </si>
  <si>
    <t>Add a signup link only after the signup service and privacy explanation are ready.</t>
  </si>
  <si>
    <t>P6-S06</t>
  </si>
  <si>
    <t>Add checkout only after payment, delivery, support, and customer policies are ready.</t>
  </si>
  <si>
    <t>P6-S07</t>
  </si>
  <si>
    <t>Test keyboard access, screen-reader labels, color contrast, mobile layouts, page speed, links, and error states.</t>
  </si>
  <si>
    <t>P6-S08</t>
  </si>
  <si>
    <t>Step 8</t>
  </si>
  <si>
    <t>Keep search indexing disabled while the site is a concept; review metadata and enable indexing when the public offer is ready.</t>
  </si>
  <si>
    <t>Indexing remains disabled while the site is a concept; final metadata review and launch-time indexing decision remain.</t>
  </si>
  <si>
    <t>P7-S01</t>
  </si>
  <si>
    <t>Phase 7: Launch and learn</t>
  </si>
  <si>
    <t>Run a final purchase-to-delivery test before announcing availability.</t>
  </si>
  <si>
    <t>P7-S02</t>
  </si>
  <si>
    <t>Confirm product files, pricing, terms, support contact, and confirmation messages match the site.</t>
  </si>
  <si>
    <t>P7-S03</t>
  </si>
  <si>
    <t>Announce availability to the validated audience using appropriate channels.</t>
  </si>
  <si>
    <t>P7-S04</t>
  </si>
  <si>
    <t>Track questions, drop-off points, delivery problems, refunds, and customer feedback.</t>
  </si>
  <si>
    <t>P7-S05</t>
  </si>
  <si>
    <t>Review feedback on a regular schedule and prioritize changes by customer impact.</t>
  </si>
  <si>
    <t>P7-S06</t>
  </si>
  <si>
    <t>Update version notes and notify customers when material changes are made.</t>
  </si>
  <si>
    <t>P7-S07</t>
  </si>
  <si>
    <t>Decide whether to improve the first toolkit, build the next individual toolkit, or create a bundle.</t>
  </si>
  <si>
    <t>CAB Synergy | Project Plan Progress Tracker</t>
  </si>
  <si>
    <t>Status baseline: October 2, 2026  |  47 task rows across the plan and setup</t>
  </si>
  <si>
    <t>Task count</t>
  </si>
  <si>
    <t>Progress indicator</t>
  </si>
  <si>
    <t>Value</t>
  </si>
  <si>
    <t>Total tracked tasks</t>
  </si>
  <si>
    <t>How to use this workbook</t>
  </si>
  <si>
    <t>Status definitions</t>
  </si>
  <si>
    <t>Completed = evidence in the project history supports completion. Ongoing = work has started but the full plan step still has follow-up. Pending = no completion evidence yet; pending does not necessarily mean the work is scheduled.</t>
  </si>
  <si>
    <t>Signup remains pending by choice until a service/link is available. The October 5–December 15, 2026 schedule window is an editable estimate, not a confirmed commitment.</t>
  </si>
  <si>
    <t>Completed Tasks</t>
  </si>
  <si>
    <t>Pending Tasks</t>
  </si>
  <si>
    <t>Ongoing Tasks</t>
  </si>
  <si>
    <t>PivotTable Summaries</t>
  </si>
  <si>
    <t>Refresh All after changing statuses in the Task Register.</t>
  </si>
  <si>
    <t>Grand Total</t>
  </si>
  <si>
    <t>Task Count</t>
  </si>
  <si>
    <t>Role list created. Primary audience selected: AppSec engineer/reviewer at a small software team. Other likely roles: software engineering lead/tech lead doing self-reviews; independent application-security consultant; AppSec/product-security lead at a larger company. Treat all as hypotheses pending customer conversations.</t>
  </si>
  <si>
    <t>Remaining</t>
  </si>
  <si>
    <t>Average remaining</t>
  </si>
  <si>
    <t>Live view from Task Register; changes recalculate automatically.</t>
  </si>
  <si>
    <t>Average task progress</t>
  </si>
  <si>
    <t>Task Register is the source of truth. Change Status or Progress there; the Completed, Pending, and Ongoing tabs and percentages recalculate automatically. PivotTables refresh when the workbook opens; use Data &gt; Refresh All to refresh them manually.</t>
  </si>
  <si>
    <t>Live Phase Summary (updates immediately)</t>
  </si>
  <si>
    <t>Total tasks</t>
  </si>
  <si>
    <t>TOTAL</t>
  </si>
  <si>
    <t>Formula-driven counts and remaining percentages recalculate immediately. PivotTables above refresh when the workbook opens or with Data &gt; Refresh All.</t>
  </si>
  <si>
    <t>Drafted P1-S02-Audience-Workflow-Hypothesis.md: selected AppSec reviewer at a small software team; documented a likely review workflow, tool categories, and pain-point hypotheses. These are not verified customer facts. Update after interviews with 5-8 target users.</t>
  </si>
  <si>
    <t>Prepared P1-S03-Customer-Interview-Guide.md, neutral 25-30 minute interview script, invitation template, privacy guidance, synthesis criteria, and an eight-person Interview Log tab. No interviews have been conducted yet; this is preparation only.</t>
  </si>
  <si>
    <t>P1-S03 | Customer Interview Log</t>
  </si>
  <si>
    <t>Interview guide:</t>
  </si>
  <si>
    <t>P1-S03-Customer-Interview-Guide.md (saved in the project folder)</t>
  </si>
  <si>
    <t>Completed interviews</t>
  </si>
  <si>
    <t>Minimum target</t>
  </si>
  <si>
    <t>Minimum target progress</t>
  </si>
  <si>
    <t>Participant slots</t>
  </si>
  <si>
    <t>Participant ID</t>
  </si>
  <si>
    <t>Role / review experience</t>
  </si>
  <si>
    <t>Team-size band</t>
  </si>
  <si>
    <t>Contact status</t>
  </si>
  <si>
    <t>Interview date</t>
  </si>
  <si>
    <t>Review trigger</t>
  </si>
  <si>
    <t>Process / handoffs</t>
  </si>
  <si>
    <t>Tools used</t>
  </si>
  <si>
    <t>Friction (anonymized quote)</t>
  </si>
  <si>
    <t>Frequency / impact</t>
  </si>
  <si>
    <t>Workaround / alternatives</t>
  </si>
  <si>
    <t>What works well</t>
  </si>
  <si>
    <t>Evidence / interpretation</t>
  </si>
  <si>
    <t>Follow-up / permission</t>
  </si>
  <si>
    <t>P1</t>
  </si>
  <si>
    <t>Not contacted</t>
  </si>
  <si>
    <t>P2</t>
  </si>
  <si>
    <t>P3</t>
  </si>
  <si>
    <t>P4</t>
  </si>
  <si>
    <t>P5</t>
  </si>
  <si>
    <t>P6</t>
  </si>
  <si>
    <t>P7</t>
  </si>
  <si>
    <t>P8</t>
  </si>
  <si>
    <t>Added a P1-S04 current-process-first protocol to the interview guide: keep the product out of the opening/workflow questions, defer the optional concept probe until the last 2-3 minutes, and log deviations. No interviews have been conducted; preparation only.</t>
  </si>
  <si>
    <t>Current-process-first followed?</t>
  </si>
  <si>
    <t>P1-S05 | Interview Synthesis</t>
  </si>
  <si>
    <t>Candidate themes are prompts from the unvalidated hypothesis only - not findings. Enter evidence only after real interviews; use anonymous participant IDs and distinct counts.</t>
  </si>
  <si>
    <t>Themes mentioned unprompted by 3+ people</t>
  </si>
  <si>
    <t>No interview evidence recorded yet.</t>
  </si>
  <si>
    <t>Coding rules: list each participant ID once per theme, separated by commas. Enter only IDs supported by interview notes. Keep evidence, anonymized wording, counterevidence, and interpretation separate. Interview counts are discovery input, not statistical proof.</t>
  </si>
  <si>
    <t>Candidate theme (prompt only)</t>
  </si>
  <si>
    <t>Evidence status</t>
  </si>
  <si>
    <t>Participant IDs (distinct)</t>
  </si>
  <si>
    <t>Distinct people</t>
  </si>
  <si>
    <t>Unprompted IDs</t>
  </si>
  <si>
    <t>Unprompted people</t>
  </si>
  <si>
    <t>Evidence / recent examples</t>
  </si>
  <si>
    <t>Participant wording (anonymized)</t>
  </si>
  <si>
    <t>Current alternatives / workaround</t>
  </si>
  <si>
    <t>Counterevidence / objections</t>
  </si>
  <si>
    <t>Interpretation / next question</t>
  </si>
  <si>
    <t>Review preparation and context</t>
  </si>
  <si>
    <t>Review consistency and coverage</t>
  </si>
  <si>
    <t>Evidence and decision traceability</t>
  </si>
  <si>
    <t>Severity and recommendations</t>
  </si>
  <si>
    <t>Remediation ownership and follow-up</t>
  </si>
  <si>
    <t>Existing process sufficiency</t>
  </si>
  <si>
    <t>Audience fit and review cadence</t>
  </si>
  <si>
    <t>Unexpected themes (add only if heard)</t>
  </si>
  <si>
    <t>Drafted a one-sentence workflow-support promise in P2-Application-Review-Kit-Product-Brief.md. Validate wording and problem importance with target users before finalizing.</t>
  </si>
  <si>
    <t>Provisional intended user, prerequisites, and exclusions drafted in P2-Application-Review-Kit-Product-Brief.md. Audience and workflow remain unvalidated hypotheses.</t>
  </si>
  <si>
    <t>Drafted a five-step intake-to-remediation workflow and expected outputs in P2-Application-Review-Kit-Product-Brief.md. Confirm with real users before treating as final.</t>
  </si>
  <si>
    <t>Draft safeguards cover confidential data, authorization, licensing, accessibility, compatibility, and limitations in P2-Application-Review-Kit-Product-Brief.md. Review and validate before prototype or release.</t>
  </si>
  <si>
    <t>Added reduced-motion support and updated concept journey copy. Full keyboard, screen-reader, contrast, mobile, speed, and error-state testing remains.</t>
  </si>
  <si>
    <t>Six candidate resources in the existing catalog were organized as a provisional minimum set in P2-Application-Review-Kit-Product-Brief.md. Include/remove decisions await interviews and prototype feedback.</t>
  </si>
  <si>
    <t>Prepared P1-S06-Customer-Problem-Decision-Framework.md with proceed, revise, retarget, and pause criteria. The actual decision remains blocked until at least five qualified customer interviews and synthesis are complete.</t>
  </si>
  <si>
    <t>SIMULATED INTERVIEWS | PRACTICE ONLY</t>
  </si>
  <si>
    <t>The following imported sheets contain fictional scenarios supplied for rehearsal. They are not real customer interviews, must not be counted as participants or findings, and do not change interview progress.</t>
  </si>
  <si>
    <t>Purpose</t>
  </si>
  <si>
    <t>Practice the neutral interview sequence, answer coding, and counterevidence review.</t>
  </si>
  <si>
    <t>Source</t>
  </si>
  <si>
    <t>Application_Review_Kit_Simulated_Interviews Guide  (2).xlsx (user-supplied).</t>
  </si>
  <si>
    <t>Real interviews in these practice scenarios</t>
  </si>
  <si>
    <t>Real interview log</t>
  </si>
  <si>
    <t>Use the separate Interview Log tab only for actual conversations.</t>
  </si>
  <si>
    <t>Real synthesis</t>
  </si>
  <si>
    <t>Use Interview Synthesis only after entering actual interviews and evidence.</t>
  </si>
  <si>
    <t>Identifier rule</t>
  </si>
  <si>
    <t>SIM-P1 through SIM-P5 are fictional scenario IDs. Never copy them into the live Interview Log as completed interviews.</t>
  </si>
  <si>
    <t>SIMULATED SCENARIO — FICTIONAL ONLY — NOT CUSTOMER EVIDENCE</t>
  </si>
  <si>
    <t>Imported as a separate practice aid from the user-provided workbook; source sheet: Interview Responses. Do not use these scenarios as real interviews or customer findings.</t>
  </si>
  <si>
    <t>Five simulated customer interviews</t>
  </si>
  <si>
    <t>All first-person responses are invented for preparation. Questions follow current-process-first order.</t>
  </si>
  <si>
    <t>Role</t>
  </si>
  <si>
    <t>Section</t>
  </si>
  <si>
    <t>Question</t>
  </si>
  <si>
    <t>Simulated response</t>
  </si>
  <si>
    <t>SIM-P1</t>
  </si>
  <si>
    <t>AppSec engineer</t>
  </si>
  <si>
    <t>11–25 software staff</t>
  </si>
  <si>
    <t>Opening</t>
  </si>
  <si>
    <t>Role and personal participation</t>
  </si>
  <si>
    <t>I am the only AppSec engineer supporting about 18 engineers. In this scenario, I personally led the review.</t>
  </si>
  <si>
    <t>Note-taking and recording permission</t>
  </si>
  <si>
    <t>Scenario assumes anonymized notes are allowed and recording is declined. No real permission was obtained.</t>
  </si>
  <si>
    <t>Recent review</t>
  </si>
  <si>
    <t>1. What triggered the most recent review?</t>
  </si>
  <si>
    <t>A new customer-facing API was approaching release. It added a new permission boundary, so the engineering lead requested a review.</t>
  </si>
  <si>
    <t>2. What was your role, and who else was involved?</t>
  </si>
  <si>
    <t>I scoped and performed the review. A backend lead explained the design, a developer supplied test access, and the engineering manager handled release decisions.</t>
  </si>
  <si>
    <t>3. What happened first, next, and through follow-up?</t>
  </si>
  <si>
    <t>The lead opened a Jira request. I asked for the data flow and roles, met with the developer, agreed on scope, reviewed the design and code, tested in staging, and discussed findings. Developers fixed the release blockers. I retested those fixes and left lower-priority items in the backlog.</t>
  </si>
  <si>
    <t>4. What information did you need, and where did you get it?</t>
  </si>
  <si>
    <t>I needed the API inventory, role matrix, data classification, authentication flow, and staging accounts. The API definition was in the repo, but the role matrix and current flow came from conversations and an updated diagram.</t>
  </si>
  <si>
    <t>5. Which tools, documents, or checklists did you use?</t>
  </si>
  <si>
    <t>Jira, Confluence, GitHub, an internal checklist, Burp Suite, and SAST and dependency-scan results. I used the scanner results as inputs, not as the entire review.</t>
  </si>
  <si>
    <t>6. What happened after a finding was identified?</t>
  </si>
  <si>
    <t>I validated the concern, wrote the affected behavior and impact in a Jira issue, discussed severity with the lead, and assigned an owner. The manager approved any deferred item with a due date. I retested before closing.</t>
  </si>
  <si>
    <t>Effort and friction</t>
  </si>
  <si>
    <t>7. What took the most time or coordination?</t>
  </si>
  <si>
    <t>Getting a complete picture before testing took the most coordination. I spent roughly three hours on questions and meetings across four days, compared with about six hours of review work.</t>
  </si>
  <si>
    <t>8. Where did progress stall or work need to be redone?</t>
  </si>
  <si>
    <t>The diagram described the old flow. After a developer clarified the new boundary, I had to revise the scope and repeat part of the authorization testing.</t>
  </si>
  <si>
    <t>9. How were evidence, severity, owners, and remediation tracked?</t>
  </si>
  <si>
    <t>Restricted Jira issues held sanitized evidence, severity rationale, owners, and due dates. Confluence held the scope and decision summary. I linked the two rather than copying all findings into a separate report.</t>
  </si>
  <si>
    <t>10. What was difficult to verify afterward?</t>
  </si>
  <si>
    <t>A merged fix was easy to see. Confirming that the same fix was deployed to staging and then production was harder because the issue did not always include the release version.</t>
  </si>
  <si>
    <t>11. What works well and should stay?</t>
  </si>
  <si>
    <t>The short kickoff with the developer helps. Keeping findings in the developers’ existing backlog also works, and I would preserve that.</t>
  </si>
  <si>
    <t>Alternatives and frequency</t>
  </si>
  <si>
    <t>12. What existing process, tool, or template helps?</t>
  </si>
  <si>
    <t>Our internal checklist and Jira issue template help. They do not consistently tell the requester which artifacts must be ready before I start.</t>
  </si>
  <si>
    <t>13. How often do reviews happen, and what triggers them?</t>
  </si>
  <si>
    <t>About two reviews a month. New APIs, authentication changes, and significant data-flow changes usually trigger them.</t>
  </si>
  <si>
    <t>14. Who decides whether to improve the process?</t>
  </si>
  <si>
    <t>I can change the checklist. The engineering manager controls time allocation, and the security manager approves paid tools.</t>
  </si>
  <si>
    <t>15. What one part would you change?</t>
  </si>
  <si>
    <t>I would make intake complete before scheduling the review. I do not want to discover basic roles and endpoints halfway through testing.</t>
  </si>
  <si>
    <t>Optional concept probe</t>
  </si>
  <si>
    <t>Where would the kit fit, and what would make it useful?</t>
  </si>
  <si>
    <t>A short intake and scoping resource could fit before kickoff. It would need editable fields, a completed example, and links that can be copied into our Jira workflow.</t>
  </si>
  <si>
    <t>What would make it unnecessary or a poor fit?</t>
  </si>
  <si>
    <t>A second findings database would be a poor fit. Generic authentication checks without context would also add little to our existing checklist.</t>
  </si>
  <si>
    <t>Close</t>
  </si>
  <si>
    <t>What important topic was missed?</t>
  </si>
  <si>
    <t>Ask who accepts deferred risk and when that acceptance expires. Closing the review should not make deferred work disappear.</t>
  </si>
  <si>
    <t>Referral and follow-up permission</t>
  </si>
  <si>
    <t>No actual referral or follow-up permission exists. In a real interview, I would ask the backend lead first before sharing any contact information.</t>
  </si>
  <si>
    <t>SIM-P2</t>
  </si>
  <si>
    <t>Senior full-stack developer</t>
  </si>
  <si>
    <t>6–10 software staff</t>
  </si>
  <si>
    <t>I am a senior developer on an eight-person engineering team. We do not have a dedicated security employee, and I carried out the review with our technical lead.</t>
  </si>
  <si>
    <t>Scenario assumes anonymized notes are allowed and no recording. No real permission was obtained.</t>
  </si>
  <si>
    <t>We added an administrator feature that changed which users could view account information. The technical lead asked us to review the permissions before release.</t>
  </si>
  <si>
    <t>I tested and documented the behavior. Another developer reviewed the implementation, our lead decided what blocked release, and the product manager helped clarify intended access.</t>
  </si>
  <si>
    <t>We discussed the feature during planning, wrote the expected roles in a GitHub issue, ran automated checks, and reviewed the pull request. I tested each role in staging, opened issues for concerns, and retested the fixes. We released after the lead approved the remaining items.</t>
  </si>
  <si>
    <t>I needed the expected role behavior, routes affected, and test accounts. Most technical details were in the pull request. The product manager supplied the missing business rules.</t>
  </si>
  <si>
    <t>GitHub issues and pull requests, CI checks, dependency alerts, browser developer tools, and a small Markdown security checklist copied from a previous feature.</t>
  </si>
  <si>
    <t>I reproduced the behavior and added a GitHub issue with sanitized steps and expected behavior. The lead helped decide priority, assigned a developer, and reviewed the fix with me.</t>
  </si>
  <si>
    <t>Deciding which checks applied took the longest. I spent about four hours reviewing and another two hours discussing expected behavior. We do not have someone who does this full time.</t>
  </si>
  <si>
    <t>The intended administrator permissions were unclear. We tested one interpretation, then changed the requirements and repeated those cases.</t>
  </si>
  <si>
    <t>GitHub issues stored the evidence and assignee. Priority labels represented urgency, but we did not consistently document a separate security severity or rationale.</t>
  </si>
  <si>
    <t>I could verify the specific fix, but I could not confidently say we had covered every permission boundary. Our automated tests covered only the cases we already knew to add.</t>
  </si>
  <si>
    <t>Pull request review and CI fit our normal work. The other developer catches mistakes early, and I would keep that lightweight approach.</t>
  </si>
  <si>
    <t>We reuse a short Markdown checklist and older issues. An external consultant helped on a previous larger release, but we do not engage one for every feature.</t>
  </si>
  <si>
    <t>One focused review every one or two months, usually for permissions, login changes, or a major integration. Routine changes receive peer review.</t>
  </si>
  <si>
    <t>The technical lead approves developer time. The founder approves consultant or tooling spend.</t>
  </si>
  <si>
    <t>I would like a clearer way to decide what to test for a particular change, without turning every feature into a large assessment.</t>
  </si>
  <si>
    <t>A concise scoping guide and authentication checklist with practical examples could help a developer like me. I would want clear limits on what a checklist can establish and when specialist help is appropriate.</t>
  </si>
  <si>
    <t>An enterprise-length workbook or a list of checks without explanations would be hard to use. It would not replace a specialist for a complex design.</t>
  </si>
  <si>
    <t>Ask how teams learn to do reviews when security is only one part of their job.</t>
  </si>
  <si>
    <t>No real referral or permission. In a real interview, I could ask our technical lead whether they want to participate.</t>
  </si>
  <si>
    <t>SIM-P3</t>
  </si>
  <si>
    <t>Platform engineer and security champion</t>
  </si>
  <si>
    <t>I am a platform engineer and security champion for a 22-person engineering group. I personally coordinated and tested the recent review in this scenario.</t>
  </si>
  <si>
    <t>We introduced an integration that sent application data to a third-party service. The engineering lead asked for a review before enabling it for customers.</t>
  </si>
  <si>
    <t>I reviewed the integration and deployment controls. The application developer explained the flow, an operations engineer configured staging, and the product owner confirmed the data being shared.</t>
  </si>
  <si>
    <t>We opened a Linear project, mapped the data flow, agreed on scope, and reviewed the integration and configuration. I tested access and failure behavior in staging. We created remediation issues, reviewed deployment changes, retested, and ran a follow-up check after rollout.</t>
  </si>
  <si>
    <t>I needed the outbound data fields, service identities, environment differences, vendor documentation, and configuration ownership. Those came from the repo, deployment configuration, and the integration owner.</t>
  </si>
  <si>
    <t>Linear, GitHub, a diagram in our documentation, CI scanners, cloud configuration views, and a spreadsheet for the initial review checklist.</t>
  </si>
  <si>
    <t>We confirmed the issue with the application owner, wrote an issue with evidence and impact, agreed on urgency, and assigned it to the team controlling the relevant configuration. I verified the change after deployment.</t>
  </si>
  <si>
    <t>Waiting for the right staging setup took the most time. The technical checks took around five hours, but the review stretched over nine business days because configuration and test access arrived in pieces.</t>
  </si>
  <si>
    <t>Staging initially used a different service identity and settings from the planned production setup. We corrected that and reran the affected tests.</t>
  </si>
  <si>
    <t>Linear held owners, priority, deadlines, and links to evidence. Severity decisions were in issue comments. The spreadsheet was a temporary checklist, not our remediation system.</t>
  </si>
  <si>
    <t>It was hard to confirm that production matched the configuration we tested. We needed the operations engineer to tie the deployment version and configuration change to the review record.</t>
  </si>
  <si>
    <t>Having one application owner and one operations owner works. Reviewing configuration changes in pull requests also gives us a useful history.</t>
  </si>
  <si>
    <t>Our deployment checklist and Linear workflow help. The gap is getting a representative environment and knowing which team must supply each prerequisite.</t>
  </si>
  <si>
    <t>About monthly, most often for external integrations, new service identities, or significant deployment changes.</t>
  </si>
  <si>
    <t>The engineering manager prioritizes the work. Platform and application leads can change team checklists. Paid tools need manager approval.</t>
  </si>
  <si>
    <t>I would have the test environment and responsible owners confirmed before booking the review.</t>
  </si>
  <si>
    <t>The intake and remediation sections might help if they include environment readiness, deployment evidence, and named responsibilities. A document alone would not provision access or fix environment differences.</t>
  </si>
  <si>
    <t>It would be a poor fit if it focused only on application code or required manually copying Linear issues into another tracker.</t>
  </si>
  <si>
    <t>Ask what environment was tested and how closely it matched the eventual deployment.</t>
  </si>
  <si>
    <t>No actual referral or permission. Any introduction to the operations engineer would require asking them first.</t>
  </si>
  <si>
    <t>SIM-P4</t>
  </si>
  <si>
    <t>Independent application-security consultant</t>
  </si>
  <si>
    <t>Client team: 6–10 software staff</t>
  </si>
  <si>
    <t>I am an independent consultant. In this scenario, I directly performed a review for a client with roughly nine software staff.</t>
  </si>
  <si>
    <t>Scenario assumes anonymized notes are allowed, no recording, and no client-identifying detail. No actual permission was obtained.</t>
  </si>
  <si>
    <t>The client was preparing a major release and wanted an external assessment after changing its sign-in and account-management flows.</t>
  </si>
  <si>
    <t>I scoped, tested, and reported the review. The client’s lead developer provided context, an engineer managed staging access, and the founder approved scope and follow-up work.</t>
  </si>
  <si>
    <t>We agreed on objectives and boundaries, collected prerequisite information, and checked access. I held a kickoff, reviewed design and implementation, tested staging, validated findings, and debriefed the lead. The client remediated findings, and I performed the agreed retest.</t>
  </si>
  <si>
    <t>I needed the agreed scope, endpoint inventory, roles, test accounts, a high-level data flow, and relevant change context. The client supplied these through an approved restricted workspace.</t>
  </si>
  <si>
    <t>My own intake and report templates, a scoped testing checklist, Burp Suite, code-review tools, and the client’s GitHub issues for remediation.</t>
  </si>
  <si>
    <t>I confirmed the concern, documented reproducible evidence and impact, assigned a severity with context, and reviewed it with the client. The client created remediation tickets and chose owners. I reported retest results separately.</t>
  </si>
  <si>
    <t>Collecting usable prerequisites and arranging retests took the most coordination. The assessment used about 16 hours, with around three additional hours of coordination over two weeks.</t>
  </si>
  <si>
    <t>One required role account was missing at kickoff. I completed other areas first, then returned to the blocked tests after access arrived.</t>
  </si>
  <si>
    <t>The report held evidence and severity rationale. The client tracked owners and fixes in GitHub. I used an agreed retest list to map client tickets back to report findings.</t>
  </si>
  <si>
    <t>I could verify fixes in the supplied environment, but could not independently confirm production deployment without the client’s release evidence.</t>
  </si>
  <si>
    <t>Written scope, a prerequisite checklist, and a findings debrief work well. I already have reusable templates and do not want to replace them casually.</t>
  </si>
  <si>
    <t>My own templates and checklist solve most of the documentation problem. The client’s issue tracker handles remediation ownership.</t>
  </si>
  <si>
    <t>I perform several engagements a month across clients. Each individual small client may request one or two a year, typically around major releases or customer requirements.</t>
  </si>
  <si>
    <t>I decide which resources I use. The client’s founder or engineering lead approves the engagement and any extra retest work.</t>
  </si>
  <si>
    <t>I would have all role accounts ready at kickoff and a fixed point of contact for access problems.</t>
  </si>
  <si>
    <t>It could be a starting point for a less-experienced reviewer or a client preparing for an assessment. For me, a differentiated readiness checklist might be more useful than another report template.</t>
  </si>
  <si>
    <t>I already have these templates. A generic kit would duplicate my work, and its value would depend on maintenance, adaptability, and substantive examples.</t>
  </si>
  <si>
    <t>Ask how the review scope and retest limits are agreed. Expectations can drift if those are not written down.</t>
  </si>
  <si>
    <t>No actual referral or permission. I would need a client’s explicit permission before making an introduction.</t>
  </si>
  <si>
    <t>SIM-P5</t>
  </si>
  <si>
    <t>Backend developer and security champion</t>
  </si>
  <si>
    <t>I am a backend developer and security champion on a 15-person engineering team. I personally performed our latest targeted review with a peer.</t>
  </si>
  <si>
    <t>Scenario assumes anonymized notes are allowed and no recording. No actual permission was obtained.</t>
  </si>
  <si>
    <t>We changed an existing API’s authorization behavior. Our pull request template flags permission changes for a focused security review.</t>
  </si>
  <si>
    <t>I ran the review. A second developer reviewed my tests, the feature owner explained the change, and the engineering lead approved release.</t>
  </si>
  <si>
    <t>The pull request linked the design note and updated role matrix. We selected applicable checks, ran CI, manually tested the changed paths, and wrote issues for concerns. Developers fixed them, tests were added, and we verified the release in staging before closure.</t>
  </si>
  <si>
    <t>I needed the changed routes, expected role behavior, data affected, and test accounts. These were already linked in the pull request, and our staging roles were maintained.</t>
  </si>
  <si>
    <t>GitHub pull requests and issue forms, a repository checklist, automated authorization tests, dependency scanning, and staging logs with sensitive details excluded.</t>
  </si>
  <si>
    <t>We reproduced the concern, created an issue with impact and ownership, and added a regression test. The lead handled any deferral, and the reviewer retested the change.</t>
  </si>
  <si>
    <t>The manual authorization checks took the most time, about two hours. Coordination was less than an hour because the inputs and owners were already clear.</t>
  </si>
  <si>
    <t>There was no meaningful stall in this review. A small requirement question was answered in the pull request without repeating the review.</t>
  </si>
  <si>
    <t>GitHub issue forms require evidence, severity rationale, owner, and target release. The pull request links the issue, tests, and deployment record.</t>
  </si>
  <si>
    <t>Verifying a specific fix was straightforward. The harder question is whether our checklist remains complete as the application changes, which we discuss in periodic reviews.</t>
  </si>
  <si>
    <t>Our required intake fields, stable test roles, regression tests, and linked deployment record work well. I would keep all of those.</t>
  </si>
  <si>
    <t>Our repository checklist and GitHub forms already cover intake, findings, and remediation. We periodically compare the checklist with our own architecture and recent changes.</t>
  </si>
  <si>
    <t>Two or three targeted reviews a month, usually triggered by permission changes, new endpoints, or sensitive-data handling. Larger design reviews happen less often.</t>
  </si>
  <si>
    <t>The engineering lead decides. Security champions propose changes during the engineering retrospective.</t>
  </si>
  <si>
    <t>For this review, I would not change much. More regression-test coverage would help future reviews, but extra documentation would not solve that.</t>
  </si>
  <si>
    <t>I might use selected examples to check our current checklist for gaps. I would only adopt a section if it added a check we were missing.</t>
  </si>
  <si>
    <t>We already have the proposed workflow. A separate kit could create duplicate documentation, and templates cannot replace application-specific tests.</t>
  </si>
  <si>
    <t>Ask whether a team already has a working process. Some teams need better testing or expertise rather than new templates.</t>
  </si>
  <si>
    <t>No actual referral or permission. I would ask the other reviewer before arranging any follow-up.</t>
  </si>
  <si>
    <t>Imported as a separate practice aid from the user-provided workbook; source sheet: Interview Synthesis. Do not use these scenarios as real interviews or customer findings.</t>
  </si>
  <si>
    <t>CAB Synergy — simulated interview synthesis</t>
  </si>
  <si>
    <t>Fictional examples only. Actual interviews completed: 0. P1-S05 remains incomplete.</t>
  </si>
  <si>
    <t>Candidate theme</t>
  </si>
  <si>
    <t>Simulated IDs</t>
  </si>
  <si>
    <t>Scenario count</t>
  </si>
  <si>
    <t>Fictional examples and wording</t>
  </si>
  <si>
    <t>Counterevidence / existing alternatives</t>
  </si>
  <si>
    <t>Interpretation to test in real interviews</t>
  </si>
  <si>
    <t>Incomplete prerequisites delay reviews</t>
  </si>
  <si>
    <t>SIM-P1, SIM-P3, SIM-P4</t>
  </si>
  <si>
    <t>P1: current diagram arrived late. P3: staging differed from the intended deployment. P4: a role account was missing.</t>
  </si>
  <si>
    <t>P5 already has complete intake and maintained role accounts. P4 already owns a prerequisite checklist.</t>
  </si>
  <si>
    <t>Ask whether delays come from missing fields, access provisioning, or competing priorities. A template may address only the first.</t>
  </si>
  <si>
    <t>Unclear intended permissions cause rework</t>
  </si>
  <si>
    <t>SIM-P1, SIM-P2</t>
  </si>
  <si>
    <t>P1 revised scope after clarifying the new boundary. P2 repeated tests after intended administrator behavior changed.</t>
  </si>
  <si>
    <t>P5 supplies an updated role matrix in the pull request.</t>
  </si>
  <si>
    <t>Test whether an earlier role/behavior agreement reduces rework. Two fictional scenarios do not establish a real theme.</t>
  </si>
  <si>
    <t>Deployment verification is difficult</t>
  </si>
  <si>
    <t>P1: a merged fix did not identify the deployed version. P3 needed configuration and deployment linkage. P4 relied on client release evidence.</t>
  </si>
  <si>
    <t>P5 links deployment evidence. Jira, Linear, and GitHub can already store those links.</t>
  </si>
  <si>
    <t>A closure checklist may help if the missing step is documentation. Verify operational ownership before proposing a product.</t>
  </si>
  <si>
    <t>Developers need help selecting relevant checks</t>
  </si>
  <si>
    <t>P2: “I would like a clearer way to decide what to test for a particular change.”</t>
  </si>
  <si>
    <t>P1 has AppSec expertise. P4 has consultant templates. P5 has an established checklist.</t>
  </si>
  <si>
    <t>Explore developers acting as reviewers as a separate segment. Do not assume all small teams need the same depth.</t>
  </si>
  <si>
    <t>Avoid duplicating the existing issue tracker</t>
  </si>
  <si>
    <t>SIM-P1, SIM-P3, SIM-P4, SIM-P5</t>
  </si>
  <si>
    <t>These concept-probe responses favor reuse of Jira, Linear, GitHub, or established reports.</t>
  </si>
  <si>
    <t>This topic arose after the concept was introduced. It is prompted feedback, not unprompted demand evidence.</t>
  </si>
  <si>
    <t>If the concept is tested, examine copyable fields and integration with existing tools. Do not infer willingness to pay.</t>
  </si>
  <si>
    <t>Existing processes can be adequate</t>
  </si>
  <si>
    <t>SIM-P4, SIM-P5</t>
  </si>
  <si>
    <t>P4 already has reusable templates. P5 reports no meaningful stall and little need for process change.</t>
  </si>
  <si>
    <t>P2 lacks a specialist. P1 and P3 report coordination gaps despite existing tools.</t>
  </si>
  <si>
    <t>Keep these objections visible. Validate the target audience and whether existing alternatives solve the problem adequately.</t>
  </si>
  <si>
    <t>Imported as a separate practice aid from the user-provided workbook; source sheet: Interview Log. Do not use these scenarios as real interviews or customer findings.</t>
  </si>
  <si>
    <t>Interview log — examples and unused slots</t>
  </si>
  <si>
    <t>SIM-P1–SIM-P5 are fictional. P6–P8 are blank future slots. Do not count any row as completed research.</t>
  </si>
  <si>
    <t>Research status</t>
  </si>
  <si>
    <t>Trigger</t>
  </si>
  <si>
    <t>Sequence and handoffs</t>
  </si>
  <si>
    <t>Main friction: fictional wording</t>
  </si>
  <si>
    <t>Stall / rework</t>
  </si>
  <si>
    <t>Tracking and ownership</t>
  </si>
  <si>
    <t>Frequency</t>
  </si>
  <si>
    <t>Counterevidence / objection</t>
  </si>
  <si>
    <t>Current-process-first sequence</t>
  </si>
  <si>
    <t>Follow-up permission</t>
  </si>
  <si>
    <t>Simulated — not conducted</t>
  </si>
  <si>
    <t>Illustrated only; concept placed after questions 1–15. No real sequence was observed.</t>
  </si>
  <si>
    <t>No actual permission. No contact data recorded.</t>
  </si>
  <si>
    <t>Not recruited</t>
  </si>
  <si>
    <t>Imported as a separate practice aid from the user-provided workbook; source sheet: Research Status. Do not use these scenarios as real interviews or customer findings.</t>
  </si>
  <si>
    <t>Research status and use</t>
  </si>
  <si>
    <t>Source: user-provided P1-S03 / P1-S04 interview guide. Scenarios authored for this workbook.</t>
  </si>
  <si>
    <t>Item</t>
  </si>
  <si>
    <t>Status / guidance</t>
  </si>
  <si>
    <t>Company</t>
  </si>
  <si>
    <t>CAB Synergy</t>
  </si>
  <si>
    <t>Workbook purpose</t>
  </si>
  <si>
    <t>Prepare for five customer interviews using varied fictional answers to every script question.</t>
  </si>
  <si>
    <t>Real interviews conducted</t>
  </si>
  <si>
    <t>Simulated profiles</t>
  </si>
  <si>
    <t>P1-S03 status</t>
  </si>
  <si>
    <t>Interview preparation only. Recruitment and live interviews remain to be done.</t>
  </si>
  <si>
    <t>P1-S04 status</t>
  </si>
  <si>
    <t>The written examples place current behavior before the optional concept probe. No live interview adherence has been verified.</t>
  </si>
  <si>
    <t>P1-S05 status</t>
  </si>
  <si>
    <t>Incomplete. The synthesis is a worked example using fictional scenario counts, not actual participant evidence.</t>
  </si>
  <si>
    <t>Consent and privacy</t>
  </si>
  <si>
    <t>Opening responses describe scenario assumptions only. Obtain real note-taking permission and separate recording permission before each interview.</t>
  </si>
  <si>
    <t>Evidence handling</t>
  </si>
  <si>
    <t>Responses and scenario wording are fictional. Synthesis interpretations are separate. No names, employer names, contacts, source code, credentials, or confidential details are included.</t>
  </si>
  <si>
    <t>Recruitment</t>
  </si>
  <si>
    <t>Recruit five people who personally did a recent review. Continue toward eight if important perspectives are missing or responses conflict.</t>
  </si>
  <si>
    <t>Live interview sequence</t>
  </si>
  <si>
    <t>Opening and eligibility, recent review, effort and friction, alternatives and frequency, optional concept probe, close. Schedule 25–30 minutes.</t>
  </si>
  <si>
    <t>After each live interview</t>
  </si>
  <si>
    <t>Use a real participant ID, record actual workflow and wording, note counterevidence and deviations, and obtain permission for any follow-up. Keep contacts separately.</t>
  </si>
  <si>
    <t>Decision rule from the guide</t>
  </si>
  <si>
    <t>Continue discovery or revise the segment if fewer than three real independent participants describe the same meaningful problem, or existing alternatives solve it adequately. Positive concept reactions do not establish demand.</t>
  </si>
  <si>
    <t>Companion framework</t>
  </si>
  <si>
    <t>P1-S05-Interview-Synthesis-Framework.md was referenced in the guide but not supplied. This example follows only the synthesis instructions included in the pasted guide.</t>
  </si>
  <si>
    <t>Real interviews only. Fictional SIM-P1–SIM-P5 examples are kept on Practice tabs and must not be entered or counted here.</t>
  </si>
  <si>
    <t>User-supplied fictional interview scenarios are in separate Practice tabs for rehearsal. They are not actual interviews or evidence; Interview Log remains at zero. P1-S05 remains ongoing pending real interview findings.</t>
  </si>
  <si>
    <t>CAB Synergy | Live Phase Tracker</t>
  </si>
  <si>
    <t>Task Register is the source of truth. Task counts and percentages update automatically. A phase becomes Complete only when all its tasks are Completed at 100% and the exit check is explicitly verified.</t>
  </si>
  <si>
    <t>Tasks</t>
  </si>
  <si>
    <t>Average progress</t>
  </si>
  <si>
    <t>All tasks at 100%</t>
  </si>
  <si>
    <t>Exit check verified?</t>
  </si>
  <si>
    <t>Phase status</t>
  </si>
  <si>
    <t>Exit check / completion evidence</t>
  </si>
  <si>
    <t>No</t>
  </si>
  <si>
    <t>Multiple target users independently describe the problem and the proposed toolkit addresses a clear gap.</t>
  </si>
  <si>
    <t>A target user can explain what the toolkit does, who it is for, and what it does not promise.</t>
  </si>
  <si>
    <t>Test users can complete the intended task without step-by-step help; important gaps are resolved or documented.</t>
  </si>
  <si>
    <t>CAB Synergy can reliably deliver exactly what the offer describes and support the stated terms.</t>
  </si>
  <si>
    <t>Signup and checkout remain disabled until data handling, policies, and fulfillment workflows are ready.</t>
  </si>
  <si>
    <t>A first-time visitor can explain who the toolkit is for, what it includes, its availability, and what action they can take.</t>
  </si>
  <si>
    <t>Fulfillment is reliable and customer feedback supports the next investment.</t>
  </si>
  <si>
    <t>Checking Yes is an explicit confirmation that the exit criterion was reviewed and met. Simulated scenarios are not customer evidence. Keep signup and checkout disabled until Phase 5 readiness is verified.</t>
  </si>
  <si>
    <t>How to keep this project tracker live</t>
  </si>
  <si>
    <t>Single source of truth</t>
  </si>
  <si>
    <t>Update task status, progress, and evidence in Task Register. Completed, Ongoing, and Pending views and Phase Tracker formulas recalculate from it.</t>
  </si>
  <si>
    <t>Task status</t>
  </si>
  <si>
    <t>Use the dropdown: Pending, Ongoing, or Completed. Set Completed only when the step is actually done and supported in Notes.</t>
  </si>
  <si>
    <t>Task progress</t>
  </si>
  <si>
    <t>Enter 0%–100% in Progress. Remaining is calculated automatically. A Completed status alone does not satisfy the phase completion gate if Progress is below 100%.</t>
  </si>
  <si>
    <t>Phase completion</t>
  </si>
  <si>
    <t>Phase Tracker calculates counts and percentages. Select Yes in Exit check verified? only when the listed exit criterion is supported by evidence. Phase status becomes Complete only when every phase task is Completed, every task is 100%, and the exit check is Yes.</t>
  </si>
  <si>
    <t>Real customer research</t>
  </si>
  <si>
    <t>Enter only real conversations in Interview Log using anonymous IDs. Simulated material lives on Practice tabs and must never be counted as interview evidence.</t>
  </si>
  <si>
    <t>Interview synthesis</t>
  </si>
  <si>
    <t>Use Interview Synthesis for evidence-backed themes, distinct participant counts, unprompted counts, alternatives, objections, and interpretation. Keep unsupported fields blank.</t>
  </si>
  <si>
    <t>PivotTables</t>
  </si>
  <si>
    <t>Formula-driven phase and status views recalculate immediately. Native PivotTables refresh when the workbook opens; use Data &gt; Refresh All for a manual refresh.</t>
  </si>
  <si>
    <t>Assistant updates</t>
  </si>
  <si>
    <t>When a task or exit criterion is complete, tell the assistant the task ID, what was done, and which evidence/deliverable supports it. The assistant will update this same workbook and its dependent tabs. This workbook is a local file, not a cloud collaboration service.</t>
  </si>
  <si>
    <t>Current constraint</t>
  </si>
  <si>
    <t>Interview Log currently has zero real completed interviews. Simulated scenarios do not complete Phase 1 or customer-evidence tasks.</t>
  </si>
  <si>
    <t>Phase completion is gated</t>
  </si>
  <si>
    <t>Open the Phase Tracker. Progress and task counts are live; a phase is Complete only when all its tasks are 100% and its exit check is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</si>
</sst>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Aptos Narrow"/>
      <family val="2"/>
      <scheme val="minor"/>
    </font>
    <font>
      <b/>
      <sz val="11"/>
      <color theme="1"/>
      <name val="Aptos Narrow"/>
      <family val="2"/>
      <scheme val="minor"/>
    </font>
    <font>
      <b/>
      <sz val="20"/>
      <color rgb="FFFFFFFF"/>
      <name val="Aptos Narrow"/>
      <family val="2"/>
      <scheme val="minor"/>
    </font>
    <font>
      <i/>
      <sz val="11"/>
      <color theme="1"/>
      <name val="Aptos Narrow"/>
      <family val="2"/>
      <scheme val="minor"/>
    </font>
    <font>
      <b/>
      <sz val="14"/>
      <color theme="1"/>
      <name val="Aptos Narrow"/>
      <family val="2"/>
      <scheme val="minor"/>
    </font>
    <font>
      <b/>
      <sz val="16"/>
      <color rgb="FFFFFFFF"/>
      <name val="Aptos Narrow"/>
      <family val="2"/>
      <scheme val="minor"/>
    </font>
    <font>
      <sz val="11"/>
      <color rgb="FFFFFFFF"/>
      <name val="Aptos Narrow"/>
      <family val="2"/>
      <scheme val="minor"/>
    </font>
    <font>
      <b/>
      <sz val="18"/>
      <color rgb="FFFFFFFF"/>
      <name val="Aptos Narrow"/>
      <family val="2"/>
      <scheme val="minor"/>
    </font>
    <font>
      <b/>
      <sz val="11"/>
      <color theme="0"/>
      <name val="Aptos Narrow"/>
      <family val="2"/>
      <scheme val="minor"/>
    </font>
    <font>
      <b/>
      <sz val="14"/>
      <color rgb="FFFFFFFF"/>
      <name val="Aptos Narrow"/>
      <family val="2"/>
      <scheme val="minor"/>
    </font>
  </fonts>
  <fills count="7">
    <fill>
      <patternFill patternType="none"/>
    </fill>
    <fill>
      <patternFill patternType="gray125"/>
    </fill>
    <fill>
      <patternFill patternType="solid">
        <fgColor rgb="FF463726"/>
        <bgColor indexed="64"/>
      </patternFill>
    </fill>
    <fill>
      <patternFill patternType="solid">
        <fgColor rgb="FFF7EBDD"/>
        <bgColor indexed="64"/>
      </patternFill>
    </fill>
    <fill>
      <patternFill patternType="solid">
        <fgColor theme="4" tint="0.79998168889431442"/>
        <bgColor theme="4" tint="0.79998168889431442"/>
      </patternFill>
    </fill>
    <fill>
      <patternFill patternType="solid">
        <fgColor rgb="FFF7EBDD"/>
        <bgColor theme="4"/>
      </patternFill>
    </fill>
    <fill>
      <patternFill patternType="solid">
        <fgColor rgb="FF192D8C"/>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7">
    <xf numFmtId="0" fontId="0" fillId="0" borderId="0" xfId="0"/>
    <xf numFmtId="0" fontId="0" fillId="0" borderId="0" xfId="0" applyAlignment="1">
      <alignment wrapText="1"/>
    </xf>
    <xf numFmtId="9" fontId="0" fillId="0" borderId="0" xfId="0" applyNumberFormat="1"/>
    <xf numFmtId="0" fontId="1" fillId="3" borderId="0" xfId="0" applyFont="1" applyFill="1"/>
    <xf numFmtId="0" fontId="0" fillId="0" borderId="0" xfId="0" pivotButton="1"/>
    <xf numFmtId="0" fontId="0" fillId="4" borderId="1" xfId="0" applyFill="1" applyBorder="1"/>
    <xf numFmtId="0" fontId="0" fillId="4" borderId="2" xfId="0" applyFill="1" applyBorder="1"/>
    <xf numFmtId="9" fontId="0" fillId="0" borderId="0" xfId="0" applyNumberFormat="1" applyAlignment="1">
      <alignment wrapText="1"/>
    </xf>
    <xf numFmtId="0" fontId="0" fillId="4" borderId="3" xfId="0" applyFill="1" applyBorder="1"/>
    <xf numFmtId="0" fontId="0" fillId="4" borderId="4" xfId="0" applyFill="1" applyBorder="1"/>
    <xf numFmtId="0" fontId="0" fillId="4" borderId="4" xfId="0" applyFill="1" applyBorder="1" applyAlignment="1">
      <alignment wrapText="1"/>
    </xf>
    <xf numFmtId="9" fontId="0" fillId="4" borderId="4" xfId="0" applyNumberFormat="1" applyFill="1" applyBorder="1"/>
    <xf numFmtId="0" fontId="0" fillId="4" borderId="5" xfId="0" applyFill="1" applyBorder="1" applyAlignment="1">
      <alignment wrapText="1"/>
    </xf>
    <xf numFmtId="0" fontId="0" fillId="0" borderId="3" xfId="0" applyBorder="1"/>
    <xf numFmtId="0" fontId="0" fillId="0" borderId="4" xfId="0" applyBorder="1"/>
    <xf numFmtId="0" fontId="0" fillId="0" borderId="4" xfId="0" applyBorder="1" applyAlignment="1">
      <alignment wrapText="1"/>
    </xf>
    <xf numFmtId="9" fontId="0" fillId="0" borderId="4" xfId="0" applyNumberFormat="1" applyBorder="1"/>
    <xf numFmtId="0" fontId="0" fillId="0" borderId="5" xfId="0" applyBorder="1" applyAlignment="1">
      <alignment wrapText="1"/>
    </xf>
    <xf numFmtId="0" fontId="0" fillId="4" borderId="2" xfId="0" applyFill="1" applyBorder="1" applyAlignment="1">
      <alignment wrapText="1"/>
    </xf>
    <xf numFmtId="9" fontId="0" fillId="4" borderId="2" xfId="0" applyNumberFormat="1" applyFill="1" applyBorder="1"/>
    <xf numFmtId="0" fontId="0" fillId="4" borderId="6" xfId="0" applyFill="1" applyBorder="1" applyAlignment="1">
      <alignment wrapText="1"/>
    </xf>
    <xf numFmtId="0" fontId="8" fillId="5" borderId="3" xfId="0" applyFont="1" applyFill="1" applyBorder="1"/>
    <xf numFmtId="0" fontId="8" fillId="5" borderId="4" xfId="0" applyFont="1" applyFill="1" applyBorder="1"/>
    <xf numFmtId="0" fontId="8" fillId="5" borderId="4" xfId="0" applyFont="1" applyFill="1" applyBorder="1" applyAlignment="1">
      <alignment wrapText="1"/>
    </xf>
    <xf numFmtId="9" fontId="8" fillId="5" borderId="4" xfId="0" applyNumberFormat="1" applyFont="1" applyFill="1" applyBorder="1"/>
    <xf numFmtId="0" fontId="8" fillId="5" borderId="5" xfId="0" applyFont="1" applyFill="1" applyBorder="1" applyAlignment="1">
      <alignment wrapText="1"/>
    </xf>
    <xf numFmtId="9" fontId="1" fillId="3" borderId="0" xfId="0" applyNumberFormat="1" applyFont="1" applyFill="1"/>
    <xf numFmtId="0" fontId="1" fillId="0" borderId="0" xfId="0" applyFont="1"/>
    <xf numFmtId="164" fontId="0" fillId="0" borderId="0" xfId="0" applyNumberFormat="1"/>
    <xf numFmtId="164" fontId="0" fillId="0" borderId="0" xfId="0" applyNumberFormat="1" applyAlignment="1">
      <alignment wrapText="1"/>
    </xf>
    <xf numFmtId="49" fontId="0" fillId="0" borderId="0" xfId="0" applyNumberFormat="1" applyAlignment="1">
      <alignment wrapText="1"/>
    </xf>
    <xf numFmtId="0" fontId="1" fillId="0" borderId="0" xfId="0" applyFont="1" applyAlignment="1">
      <alignment wrapText="1"/>
    </xf>
    <xf numFmtId="0" fontId="1" fillId="3" borderId="0" xfId="0" applyFont="1" applyFill="1" applyAlignment="1">
      <alignment wrapText="1"/>
    </xf>
    <xf numFmtId="0" fontId="5" fillId="6" borderId="0" xfId="0" applyFont="1" applyFill="1"/>
    <xf numFmtId="0" fontId="6" fillId="6" borderId="0" xfId="0" applyFont="1" applyFill="1"/>
    <xf numFmtId="0" fontId="0" fillId="0" borderId="0" xfId="0" applyAlignment="1">
      <alignment wrapText="1"/>
    </xf>
    <xf numFmtId="0" fontId="7" fillId="6" borderId="0" xfId="0" applyFont="1" applyFill="1"/>
    <xf numFmtId="0" fontId="7" fillId="2" borderId="0" xfId="0" applyFont="1" applyFill="1"/>
    <xf numFmtId="0" fontId="6" fillId="2" borderId="0" xfId="0" applyFont="1" applyFill="1"/>
    <xf numFmtId="0" fontId="0" fillId="0" borderId="0" xfId="0"/>
    <xf numFmtId="0" fontId="5" fillId="2" borderId="0" xfId="0" applyFont="1" applyFill="1"/>
    <xf numFmtId="0" fontId="9" fillId="2" borderId="0" xfId="0" applyFont="1" applyFill="1"/>
    <xf numFmtId="0" fontId="2" fillId="2" borderId="0" xfId="0" applyFont="1" applyFill="1"/>
    <xf numFmtId="0" fontId="0" fillId="2" borderId="0" xfId="0" applyFill="1"/>
    <xf numFmtId="0" fontId="3" fillId="0" borderId="0" xfId="0" applyFont="1"/>
    <xf numFmtId="0" fontId="4" fillId="0" borderId="0" xfId="0" applyFont="1"/>
    <xf numFmtId="0" fontId="0" fillId="0" borderId="0" xfId="0" applyNumberFormat="1"/>
  </cellXfs>
  <cellStyles count="1">
    <cellStyle name="Normal" xfId="0" builtinId="0"/>
  </cellStyles>
  <dxfs count="4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yyyy\-mm\-dd"/>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brey Finn" refreshedDate="46297.688921180554" createdVersion="8" refreshedVersion="8" minRefreshableVersion="3" recordCount="47" xr:uid="{39B99140-3694-4FBF-9119-3568AF2B5987}">
  <cacheSource type="worksheet">
    <worksheetSource ref="A1:G48" sheet="Task Register"/>
  </cacheSource>
  <cacheFields count="7">
    <cacheField name="Task ID" numFmtId="0">
      <sharedItems/>
    </cacheField>
    <cacheField name="Phase" numFmtId="0">
      <sharedItems count="8">
        <s v="Project setup"/>
        <s v="Phase 1: Choose and validate the customer problem"/>
        <s v="Phase 2: Define the minimum useful toolkit"/>
        <s v="Phase 3: Build and test a prototype"/>
        <s v="Phase 4: Confirm the offer and price"/>
        <s v="Phase 5: Prepare business and customer operations"/>
        <s v="Phase 6: Update and test the website"/>
        <s v="Phase 7: Launch and learn"/>
      </sharedItems>
    </cacheField>
    <cacheField name="Plan Step" numFmtId="0">
      <sharedItems/>
    </cacheField>
    <cacheField name="Task" numFmtId="0">
      <sharedItems/>
    </cacheField>
    <cacheField name="Status" numFmtId="0">
      <sharedItems count="3">
        <s v="Completed"/>
        <s v="Ongoing"/>
        <s v="Pending"/>
      </sharedItems>
    </cacheField>
    <cacheField name="Progress" numFmtId="9">
      <sharedItems containsSemiMixedTypes="0" containsString="0" containsNumber="1" minValue="0" maxValue="1"/>
    </cacheField>
    <cacheField name="Not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SETUP-01"/>
    <x v="0"/>
    <s v="Completed deliverable"/>
    <s v="Create the detailed seven-phase project plan and Microsoft Project-compatible schedule."/>
    <x v="0"/>
    <n v="1"/>
    <s v="The plan and schedule have been created; this workbook provides the step-by-step status tracker."/>
  </r>
  <r>
    <s v="P1-S01"/>
    <x v="1"/>
    <s v="Step 1"/>
    <s v="List the likely customer roles for the Application Review Kit, such as application security engineers and software teams."/>
    <x v="0"/>
    <n v="1"/>
    <s v="Role list created. Primary audience selected: AppSec engineer/reviewer at a small software team. Other likely roles: software engineering lead/tech lead doing self-reviews; independent application-security consultant; AppSec/product-security lead at a larger company. Treat all as hypotheses pending customer conversations."/>
  </r>
  <r>
    <s v="P1-S02"/>
    <x v="1"/>
    <s v="Step 2"/>
    <s v="Choose one primary audience and describe its review workflow, current tools, and pain points."/>
    <x v="1"/>
    <n v="0.5"/>
    <s v="Drafted P1-S02-Audience-Workflow-Hypothesis.md: selected AppSec reviewer at a small software team; documented a likely review workflow, tool categories, and pain-point hypotheses. These are not verified customer facts. Update after interviews with 5-8 target users."/>
  </r>
  <r>
    <s v="P1-S03"/>
    <x v="1"/>
    <s v="Step 3"/>
    <s v="Speak with 5â€“8 people who match that audience. Ask about their current process, where work slows down, what they already use, and what would make a toolkit useful."/>
    <x v="1"/>
    <n v="0.1"/>
    <s v="Prepared P1-S03-Customer-Interview-Guide.md, neutral 25-30 minute interview script, invitation template, privacy guidance, synthesis criteria, and an eight-person Interview Log tab. No interviews have been conducted yet; this is preparation only."/>
  </r>
  <r>
    <s v="P1-S04"/>
    <x v="1"/>
    <s v="Step 4"/>
    <s v="Avoid pitching the proposed product during the first part of each conversation; learn how customers work today."/>
    <x v="1"/>
    <n v="0.1"/>
    <s v="Added a P1-S04 current-process-first protocol to the interview guide: keep the product out of the opening/workflow questions, defer the optional concept probe until the last 2-3 minutes, and log deviations. No interviews have been conducted; preparation only."/>
  </r>
  <r>
    <s v="P1-S05"/>
    <x v="1"/>
    <s v="Step 5"/>
    <s v="Summarize repeated needs, objections, existing alternatives, and language customers use."/>
    <x v="1"/>
    <n v="0.1"/>
    <s v="User-supplied fictional interview scenarios are in separate Practice tabs for rehearsal. They are not actual interviews or evidence; Interview Log remains at zero. P1-S05 remains ongoing pending real interview findings."/>
  </r>
  <r>
    <s v="P1-S06"/>
    <x v="1"/>
    <s v="Step 6"/>
    <s v="Decide whether to proceed, revise the audience/problem, or test another toolkit idea."/>
    <x v="1"/>
    <n v="0.1"/>
    <s v="Prepared P1-S06-Customer-Problem-Decision-Framework.md with proceed, revise, retarget, and pause criteria. The actual decision remains blocked until at least five qualified customer interviews and synthesis are complete."/>
  </r>
  <r>
    <s v="P2-S01"/>
    <x v="2"/>
    <s v="Step 1"/>
    <s v="Write a one-sentence product promise focused on a practical task, not a guaranteed security outcome."/>
    <x v="1"/>
    <n v="0.25"/>
    <s v="Drafted a one-sentence workflow-support promise in P2-Application-Review-Kit-Product-Brief.md. Validate wording and problem importance with target users before finalizing."/>
  </r>
  <r>
    <s v="P2-S02"/>
    <x v="2"/>
    <s v="Step 2"/>
    <s v="Define the intended user, prerequisites, and situations where the toolkit is not suitable."/>
    <x v="1"/>
    <n v="0.25"/>
    <s v="Provisional intended user, prerequisites, and exclusions drafted in P2-Application-Review-Kit-Product-Brief.md. Audience and workflow remain unvalidated hypotheses."/>
  </r>
  <r>
    <s v="P2-S03"/>
    <x v="2"/>
    <s v="Step 3"/>
    <s v="Select only the worksheets, checklists, and templates necessary to complete the task."/>
    <x v="1"/>
    <n v="0.25"/>
    <s v="Six candidate resources in the existing catalog were organized as a provisional minimum set in P2-Application-Review-Kit-Product-Brief.md. Include/remove decisions await interviews and prototype feedback."/>
  </r>
  <r>
    <s v="P2-S04"/>
    <x v="2"/>
    <s v="Step 4"/>
    <s v="Describe the expected workflow: what the user provides, what they do with each resource, and what they finish with."/>
    <x v="1"/>
    <n v="0.3"/>
    <s v="Drafted a five-step intake-to-remediation workflow and expected outputs in P2-Application-Review-Kit-Product-Brief.md. Confirm with real users before treating as final."/>
  </r>
  <r>
    <s v="P2-S05"/>
    <x v="2"/>
    <s v="Step 5"/>
    <s v="Choose the file formats based on how customers already work."/>
    <x v="2"/>
    <n v="0"/>
    <s v="Not yet confirmed as complete. Update this task in the Task Register as work progresses."/>
  </r>
  <r>
    <s v="P2-S06"/>
    <x v="2"/>
    <s v="Step 6"/>
    <s v="Identify any security, privacy, licensing, accessibility, or compatibility considerations."/>
    <x v="1"/>
    <n v="0.2"/>
    <s v="Draft safeguards cover confidential data, authorization, licensing, accessibility, compatibility, and limitations in P2-Application-Review-Kit-Product-Brief.md. Review and validate before prototype or release."/>
  </r>
  <r>
    <s v="P3-S01"/>
    <x v="3"/>
    <s v="Step 1"/>
    <s v="Create a rough but complete prototype of the minimum useful toolkit."/>
    <x v="2"/>
    <n v="0"/>
    <s v="Not yet confirmed as complete. Update this task in the Task Register as work progresses."/>
  </r>
  <r>
    <s v="P3-S02"/>
    <x v="3"/>
    <s v="Step 2"/>
    <s v="Use fictional or sanitized examples; do not include customer confidential information."/>
    <x v="2"/>
    <n v="0"/>
    <s v="Not yet confirmed as complete. Update this task in the Task Register as work progresses."/>
  </r>
  <r>
    <s v="P3-S03"/>
    <x v="3"/>
    <s v="Step 3"/>
    <s v="Ask 3â€“5 target users to complete a realistic task with the prototype."/>
    <x v="2"/>
    <n v="0"/>
    <s v="Not yet confirmed as complete. Update this task in the Task Register as work progresses."/>
  </r>
  <r>
    <s v="P3-S04"/>
    <x v="3"/>
    <s v="Step 4"/>
    <s v="Observe where they hesitate, misunderstand instructions, or need information that is missing."/>
    <x v="2"/>
    <n v="0"/>
    <s v="Not yet confirmed as complete. Update this task in the Task Register as work progresses."/>
  </r>
  <r>
    <s v="P3-S05"/>
    <x v="3"/>
    <s v="Step 5"/>
    <s v="Ask what they would change, what they would not use, and what they expected to be included."/>
    <x v="2"/>
    <n v="0"/>
    <s v="Not yet confirmed as complete. Update this task in the Task Register as work progresses."/>
  </r>
  <r>
    <s v="P3-S06"/>
    <x v="3"/>
    <s v="Step 6"/>
    <s v="Revise the toolkit and repeat the test for any major workflow changes."/>
    <x v="2"/>
    <n v="0"/>
    <s v="Not yet confirmed as complete. Update this task in the Task Register as work progresses."/>
  </r>
  <r>
    <s v="P3-S07"/>
    <x v="3"/>
    <s v="Step 7"/>
    <s v="Check that examples are clearly labeled and do not imply guaranteed security, compliance, or business results."/>
    <x v="2"/>
    <n v="0"/>
    <s v="Not yet confirmed as complete. Update this task in the Task Register as work progresses."/>
  </r>
  <r>
    <s v="P4-S01"/>
    <x v="4"/>
    <s v="Step 1"/>
    <s v="Finalize the deliverables, formats, version, setup requirements, and compatibility notes."/>
    <x v="2"/>
    <n v="0"/>
    <s v="Not yet confirmed as complete. Update this task in the Task Register as work progresses."/>
  </r>
  <r>
    <s v="P4-S02"/>
    <x v="4"/>
    <s v="Step 2"/>
    <s v="Estimate creation, maintenance, support, and delivery costs."/>
    <x v="2"/>
    <n v="0"/>
    <s v="Not yet confirmed as complete. Update this task in the Task Register as work progresses."/>
  </r>
  <r>
    <s v="P4-S03"/>
    <x v="4"/>
    <s v="Step 3"/>
    <s v="Ask target users about the value and price expectations; compare these with costs and alternatives."/>
    <x v="2"/>
    <n v="0"/>
    <s v="Not yet confirmed as complete. Update this task in the Task Register as work progresses."/>
  </r>
  <r>
    <s v="P4-S04"/>
    <x v="4"/>
    <s v="Step 4"/>
    <s v="Set an initial price only after confirming the product and delivery method."/>
    <x v="2"/>
    <n v="0"/>
    <s v="Not yet confirmed as complete. Update this task in the Task Register as work progresses."/>
  </r>
  <r>
    <s v="P4-S05"/>
    <x v="4"/>
    <s v="Step 5"/>
    <s v="Define what customers receive, how updates work, what support is included, and any usage limits."/>
    <x v="2"/>
    <n v="0"/>
    <s v="Not yet confirmed as complete. Update this task in the Task Register as work progresses."/>
  </r>
  <r>
    <s v="P4-S06"/>
    <x v="4"/>
    <s v="Step 6"/>
    <s v="Decide whether bundles make sense after the first individual toolkit is validated."/>
    <x v="2"/>
    <n v="0"/>
    <s v="Not yet confirmed as complete. Update this task in the Task Register as work progresses."/>
  </r>
  <r>
    <s v="P5-S01"/>
    <x v="5"/>
    <s v="Step 1"/>
    <s v="Choose an email/signup service before collecting customer addresses."/>
    <x v="2"/>
    <n v="0"/>
    <s v="Signup was intentionally deferred until a signup service/link is available; keep collection disabled."/>
  </r>
  <r>
    <s v="P5-S02"/>
    <x v="5"/>
    <s v="Step 2"/>
    <s v="Explain what information is collected, why it is collected, how it will be used, and how a person can unsubscribe or request removal."/>
    <x v="2"/>
    <n v="0"/>
    <s v="Not yet confirmed as complete. Update this task in the Task Register as work progresses."/>
  </r>
  <r>
    <s v="P5-S03"/>
    <x v="5"/>
    <s v="Step 3"/>
    <s v="Select a payment and delivery method before enabling checkout."/>
    <x v="2"/>
    <n v="0"/>
    <s v="Not yet confirmed as complete. Update this task in the Task Register as work progresses."/>
  </r>
  <r>
    <s v="P5-S04"/>
    <x v="5"/>
    <s v="Step 4"/>
    <s v="Prepare accurate contact, privacy, licensing, refund, support, and delivery information for the business model."/>
    <x v="2"/>
    <n v="0"/>
    <s v="Not yet confirmed as complete. Update this task in the Task Register as work progresses."/>
  </r>
  <r>
    <s v="P5-S05"/>
    <x v="5"/>
    <s v="Step 5"/>
    <s v="Confirm relevant tax, consumer-protection, and other legal obligations with qualified professionals where needed."/>
    <x v="2"/>
    <n v="0"/>
    <s v="Not yet confirmed as complete. Update this task in the Task Register as work progresses."/>
  </r>
  <r>
    <s v="P5-S06"/>
    <x v="5"/>
    <s v="Step 6"/>
    <s v="Create a process for customer questions, delivery issues, corrections, and product updates."/>
    <x v="2"/>
    <n v="0"/>
    <s v="Not yet confirmed as complete. Update this task in the Task Register as work progresses."/>
  </r>
  <r>
    <s v="P6-S01"/>
    <x v="6"/>
    <s v="Step 1"/>
    <s v="Replace concept descriptions with the validated audience, task, contents, and limitations."/>
    <x v="2"/>
    <n v="0"/>
    <s v="Not yet confirmed as complete. Update this task in the Task Register as work progresses."/>
  </r>
  <r>
    <s v="P6-S02"/>
    <x v="6"/>
    <s v="Step 2"/>
    <s v="Keep proposed information visibly labeled until it is confirmed; remove placeholder prices when they are no longer appropriate."/>
    <x v="1"/>
    <n v="0.5"/>
    <s v="Concept availability and proposed-pricing labels are in place; update/remove placeholders once the offer and price are validated."/>
  </r>
  <r>
    <s v="P6-S03"/>
    <x v="6"/>
    <s v="Step 3"/>
    <s v="Make product previews clearly distinguish illustrative examples from actual downloadable deliverables."/>
    <x v="0"/>
    <n v="1"/>
    <s v="Previews are labeled as illustrative concepts, not downloadable products."/>
  </r>
  <r>
    <s v="P6-S04"/>
    <x v="6"/>
    <s v="Step 4"/>
    <s v="Keep toolkit search, category filters, and comparison instructions understandable and test them with users."/>
    <x v="1"/>
    <n v="0.5"/>
    <s v="Comparison instructions and the page jump link were clarified; target-user testing of search, filters, and comparison remains."/>
  </r>
  <r>
    <s v="P6-S05"/>
    <x v="6"/>
    <s v="Step 5"/>
    <s v="Add a signup link only after the signup service and privacy explanation are ready."/>
    <x v="2"/>
    <n v="0"/>
    <s v="Not yet confirmed as complete. Update this task in the Task Register as work progresses."/>
  </r>
  <r>
    <s v="P6-S06"/>
    <x v="6"/>
    <s v="Step 6"/>
    <s v="Add checkout only after payment, delivery, support, and customer policies are ready."/>
    <x v="2"/>
    <n v="0"/>
    <s v="Not yet confirmed as complete. Update this task in the Task Register as work progresses."/>
  </r>
  <r>
    <s v="P6-S07"/>
    <x v="6"/>
    <s v="Step 7"/>
    <s v="Test keyboard access, screen-reader labels, color contrast, mobile layouts, page speed, links, and error states."/>
    <x v="1"/>
    <n v="0.2"/>
    <s v="Added reduced-motion support and updated concept journey copy. Full keyboard, screen-reader, contrast, mobile, speed, and error-state testing remains."/>
  </r>
  <r>
    <s v="P6-S08"/>
    <x v="6"/>
    <s v="Step 8"/>
    <s v="Keep search indexing disabled while the site is a concept; review metadata and enable indexing when the public offer is ready."/>
    <x v="1"/>
    <n v="0.5"/>
    <s v="Indexing remains disabled while the site is a concept; final metadata review and launch-time indexing decision remain."/>
  </r>
  <r>
    <s v="P7-S01"/>
    <x v="7"/>
    <s v="Step 1"/>
    <s v="Run a final purchase-to-delivery test before announcing availability."/>
    <x v="2"/>
    <n v="0"/>
    <s v="Not yet confirmed as complete. Update this task in the Task Register as work progresses."/>
  </r>
  <r>
    <s v="P7-S02"/>
    <x v="7"/>
    <s v="Step 2"/>
    <s v="Confirm product files, pricing, terms, support contact, and confirmation messages match the site."/>
    <x v="2"/>
    <n v="0"/>
    <s v="Not yet confirmed as complete. Update this task in the Task Register as work progresses."/>
  </r>
  <r>
    <s v="P7-S03"/>
    <x v="7"/>
    <s v="Step 3"/>
    <s v="Announce availability to the validated audience using appropriate channels."/>
    <x v="2"/>
    <n v="0"/>
    <s v="Not yet confirmed as complete. Update this task in the Task Register as work progresses."/>
  </r>
  <r>
    <s v="P7-S04"/>
    <x v="7"/>
    <s v="Step 4"/>
    <s v="Track questions, drop-off points, delivery problems, refunds, and customer feedback."/>
    <x v="2"/>
    <n v="0"/>
    <s v="Not yet confirmed as complete. Update this task in the Task Register as work progresses."/>
  </r>
  <r>
    <s v="P7-S05"/>
    <x v="7"/>
    <s v="Step 5"/>
    <s v="Review feedback on a regular schedule and prioritize changes by customer impact."/>
    <x v="2"/>
    <n v="0"/>
    <s v="Not yet confirmed as complete. Update this task in the Task Register as work progresses."/>
  </r>
  <r>
    <s v="P7-S06"/>
    <x v="7"/>
    <s v="Step 6"/>
    <s v="Update version notes and notify customers when material changes are made."/>
    <x v="2"/>
    <n v="0"/>
    <s v="Not yet confirmed as complete. Update this task in the Task Register as work progresses."/>
  </r>
  <r>
    <s v="P7-S07"/>
    <x v="7"/>
    <s v="Step 7"/>
    <s v="Decide whether to improve the first toolkit, build the next individual toolkit, or create a bundle."/>
    <x v="2"/>
    <n v="0"/>
    <s v="Not yet confirmed as complete. Update this task in the Task Register as work progress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0B852-E6A8-4E9E-A271-F0E082DEA6BD}" name="OverallStatusPivot"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K8" firstHeaderRow="1" firstDataRow="1" firstDataCol="1"/>
  <pivotFields count="7">
    <pivotField dataField="1"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numFmtId="9" outline="0" showAll="0"/>
    <pivotField compact="0" outline="0" showAll="0"/>
  </pivotFields>
  <rowFields count="1">
    <field x="4"/>
  </rowFields>
  <rowItems count="4">
    <i>
      <x/>
    </i>
    <i>
      <x v="1"/>
    </i>
    <i>
      <x v="2"/>
    </i>
    <i t="grand">
      <x/>
    </i>
  </rowItems>
  <colItems count="1">
    <i/>
  </colItems>
  <dataFields count="1">
    <dataField name="Task Count"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EF97E-6988-4496-AE96-61CE96FA0C9D}" name="PhaseStatusPivot"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E14" firstHeaderRow="1" firstDataRow="2" firstDataCol="1"/>
  <pivotFields count="7">
    <pivotField dataField="1" compact="0" outline="0" showAll="0"/>
    <pivotField axis="axisRow" compact="0" outline="0" showAll="0">
      <items count="9">
        <item x="1"/>
        <item x="2"/>
        <item x="3"/>
        <item x="4"/>
        <item x="5"/>
        <item x="6"/>
        <item x="7"/>
        <item x="0"/>
        <item t="default"/>
      </items>
    </pivotField>
    <pivotField compact="0" outline="0" showAll="0"/>
    <pivotField compact="0" outline="0" showAll="0"/>
    <pivotField axis="axisCol" compact="0" outline="0" showAll="0">
      <items count="4">
        <item x="0"/>
        <item x="1"/>
        <item x="2"/>
        <item t="default"/>
      </items>
    </pivotField>
    <pivotField compact="0" numFmtId="9" outline="0" showAll="0"/>
    <pivotField compact="0" outline="0" showAll="0"/>
  </pivotFields>
  <rowFields count="1">
    <field x="1"/>
  </rowFields>
  <rowItems count="9">
    <i>
      <x/>
    </i>
    <i>
      <x v="1"/>
    </i>
    <i>
      <x v="2"/>
    </i>
    <i>
      <x v="3"/>
    </i>
    <i>
      <x v="4"/>
    </i>
    <i>
      <x v="5"/>
    </i>
    <i>
      <x v="6"/>
    </i>
    <i>
      <x v="7"/>
    </i>
    <i t="grand">
      <x/>
    </i>
  </rowItems>
  <colFields count="1">
    <field x="4"/>
  </colFields>
  <colItems count="4">
    <i>
      <x/>
    </i>
    <i>
      <x v="1"/>
    </i>
    <i>
      <x v="2"/>
    </i>
    <i t="grand">
      <x/>
    </i>
  </colItems>
  <dataFields count="1">
    <dataField name="Task Count"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5E5CA9-83C4-48A4-8FDB-B30E7A46F1CA}" name="InterviewThemeSynthesis" displayName="InterviewThemeSynthesis" ref="A6:L14" totalsRowShown="0" headerRowDxfId="47" dataDxfId="46">
  <autoFilter ref="A6:L14" xr:uid="{395E5CA9-83C4-48A4-8FDB-B30E7A46F1CA}"/>
  <tableColumns count="12">
    <tableColumn id="1" xr3:uid="{1FA7EE02-7161-4C80-AE36-5BCDA210B92F}" name="Candidate theme (prompt only)" dataDxfId="45"/>
    <tableColumn id="2" xr3:uid="{E62595AA-79B5-4524-A4B6-8471EE5B169D}" name="Evidence status" dataDxfId="44">
      <calculatedColumnFormula>IF(D7=0,"Unvalidated",IF(D7&lt;3,"Emerging - needs more evidence","Review pattern; not proof"))</calculatedColumnFormula>
    </tableColumn>
    <tableColumn id="3" xr3:uid="{527FD9F5-6242-497F-8E21-8C566786255A}" name="Participant IDs (distinct)" dataDxfId="43"/>
    <tableColumn id="4" xr3:uid="{9AD4A9BE-37D4-4EF9-9F7B-17F1E45E03D9}" name="Distinct people" dataDxfId="42">
      <calculatedColumnFormula>IF(C7="",0,LEN(C7)-LEN(SUBSTITUTE(C7,",",""))+1)</calculatedColumnFormula>
    </tableColumn>
    <tableColumn id="5" xr3:uid="{6EA330CA-6B07-441A-96A0-D17A77CE7E83}" name="Unprompted IDs" dataDxfId="41"/>
    <tableColumn id="6" xr3:uid="{3E202ACB-A44A-40BD-B749-3C61D3565C89}" name="Unprompted people" dataDxfId="40">
      <calculatedColumnFormula>IF(E7="",0,LEN(E7)-LEN(SUBSTITUTE(E7,",",""))+1)</calculatedColumnFormula>
    </tableColumn>
    <tableColumn id="7" xr3:uid="{BF824A78-E4A5-49AC-A34E-90D51EEA3ABC}" name="Evidence / recent examples" dataDxfId="39"/>
    <tableColumn id="8" xr3:uid="{A3607562-830A-47F5-883B-CE995B92A70D}" name="Participant wording (anonymized)" dataDxfId="38"/>
    <tableColumn id="9" xr3:uid="{E38181D5-8310-48F0-B52A-BB6125E715E6}" name="Frequency / impact" dataDxfId="37"/>
    <tableColumn id="10" xr3:uid="{9AC938A6-F3DB-4255-8DD4-1D7440BB5AA0}" name="Current alternatives / workaround" dataDxfId="36"/>
    <tableColumn id="11" xr3:uid="{5E92FB25-8783-43F5-B83D-3DEC5FDF50E5}" name="Counterevidence / objections" dataDxfId="35"/>
    <tableColumn id="12" xr3:uid="{3F1C7C93-6931-463E-B383-05D42A6D3508}" name="Interpretation / next question"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317854-809C-44B5-931F-F3F1BD0CFAF3}" name="CustomerInterviewLog" displayName="CustomerInterviewLog" ref="A6:O14" totalsRowShown="0" headerRowDxfId="33" dataDxfId="32">
  <autoFilter ref="A6:O14" xr:uid="{90317854-809C-44B5-931F-F3F1BD0CFAF3}"/>
  <tableColumns count="15">
    <tableColumn id="1" xr3:uid="{1843723F-D713-4D2F-9949-5068B0E4C7B5}" name="Participant ID" dataDxfId="31"/>
    <tableColumn id="2" xr3:uid="{E424A11F-9EE2-4E25-AAB5-CD60BFD6C974}" name="Role / review experience" dataDxfId="30"/>
    <tableColumn id="3" xr3:uid="{9A0F9C54-65A3-450F-87E4-2341D603B59E}" name="Team-size band" dataDxfId="29"/>
    <tableColumn id="4" xr3:uid="{5EA0AE05-2538-4447-9473-EB01AF835978}" name="Contact status" dataDxfId="28"/>
    <tableColumn id="5" xr3:uid="{F285CE1D-100E-4E78-AAF1-083F04BED990}" name="Interview date" dataDxfId="27"/>
    <tableColumn id="6" xr3:uid="{5F39644E-F9C7-4278-A09A-D0571865EBF3}" name="Review trigger" dataDxfId="26"/>
    <tableColumn id="7" xr3:uid="{B2E2F2C2-7DBC-407A-85FC-AF174DD7D3BF}" name="Process / handoffs" dataDxfId="25"/>
    <tableColumn id="8" xr3:uid="{4E471239-FBC8-4C97-9B97-73B6486A16FF}" name="Tools used" dataDxfId="24"/>
    <tableColumn id="9" xr3:uid="{911D363F-AD4A-4C77-BB71-075522914E9F}" name="Friction (anonymized quote)" dataDxfId="23"/>
    <tableColumn id="10" xr3:uid="{2592EEE2-9AE0-4FA2-BAE6-88CD8DCA7552}" name="Frequency / impact" dataDxfId="22"/>
    <tableColumn id="11" xr3:uid="{435C4A00-AA7C-4759-9D6E-3B5E7705822E}" name="Workaround / alternatives" dataDxfId="21"/>
    <tableColumn id="12" xr3:uid="{18235DB0-0B36-41E1-87A3-D4C3B15000B6}" name="What works well" dataDxfId="20"/>
    <tableColumn id="13" xr3:uid="{39FFD6DD-5C3B-4878-9D2E-A16C9F4DFE4E}" name="Evidence / interpretation" dataDxfId="19"/>
    <tableColumn id="14" xr3:uid="{1EAB61AF-A082-4A19-9CCB-0AF694DA1B5B}" name="Follow-up / permission" dataDxfId="18"/>
    <tableColumn id="15" xr3:uid="{2762F050-3F90-4DBD-B541-B5B8AD09556B}" name="Current-process-first followed?"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E289E-62DA-441E-9819-40A2FC6E70C4}" name="ProjectTaskRegister" displayName="ProjectTaskRegister" ref="A1:H48" totalsRowShown="0">
  <autoFilter ref="A1:H48" xr:uid="{6E2E289E-62DA-441E-9819-40A2FC6E70C4}"/>
  <tableColumns count="8">
    <tableColumn id="1" xr3:uid="{C3C7A2FB-85CB-48E3-8CC7-2FD2AD732601}" name="Task ID"/>
    <tableColumn id="2" xr3:uid="{7E26B9F8-4BAB-4052-95FA-3DBE594C6746}" name="Phase"/>
    <tableColumn id="3" xr3:uid="{20727DF9-30C3-4078-BE27-2DF00D342E15}" name="Plan Step"/>
    <tableColumn id="4" xr3:uid="{0B4BACD6-4F72-432A-B1DD-DABC1919A412}" name="Task" dataDxfId="16"/>
    <tableColumn id="5" xr3:uid="{AC0D22C5-4098-4748-A32C-54ED9C5487CC}" name="Status"/>
    <tableColumn id="6" xr3:uid="{169EBEAB-5862-491A-ADA9-14597CD904F4}" name="Progress" dataDxfId="15"/>
    <tableColumn id="7" xr3:uid="{EBA3D2D3-829B-4718-8A5F-771CB772A0CA}" name="Notes" dataDxfId="14"/>
    <tableColumn id="8" xr3:uid="{C86751CB-DFCF-4B37-856D-7C3B31848035}" name="Remaining" dataDxfId="13">
      <calculatedColumnFormula>1-ProjectTaskRegister[[#This Row],[Progress]]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4A1242-C619-4595-8C8F-20E296196FC5}" name="PhaseProgressTracker" displayName="PhaseProgressTracker" ref="A4:K11" totalsRowShown="0" headerRowDxfId="1" dataDxfId="0">
  <autoFilter ref="A4:K11" xr:uid="{824A1242-C619-4595-8C8F-20E296196FC5}"/>
  <tableColumns count="11">
    <tableColumn id="1" xr3:uid="{022C9AA8-9E34-40C2-8390-2835D12FBBED}" name="Phase" dataDxfId="12"/>
    <tableColumn id="2" xr3:uid="{2B4A9FBA-5DC6-4F6D-B265-CAEF8CD5A493}" name="Tasks" dataDxfId="11">
      <calculatedColumnFormula>COUNTIF('Task Register'!$B$2:$B$1001,A5)</calculatedColumnFormula>
    </tableColumn>
    <tableColumn id="3" xr3:uid="{6A4B98BF-5D8A-4EBD-BEC0-A281E48D163F}" name="Completed" dataDxfId="10">
      <calculatedColumnFormula>COUNTIFS('Task Register'!$B$2:$B$1001,A5,'Task Register'!$E$2:$E$1001,"Completed")</calculatedColumnFormula>
    </tableColumn>
    <tableColumn id="4" xr3:uid="{2040521A-2C6E-4FBC-A953-FCCA68A9544B}" name="Ongoing" dataDxfId="9">
      <calculatedColumnFormula>COUNTIFS('Task Register'!$B$2:$B$1001,A5,'Task Register'!$E$2:$E$1001,"Ongoing")</calculatedColumnFormula>
    </tableColumn>
    <tableColumn id="5" xr3:uid="{2D802B28-FD44-4190-8E19-C997640A0547}" name="Pending" dataDxfId="8">
      <calculatedColumnFormula>COUNTIFS('Task Register'!$B$2:$B$1001,A5,'Task Register'!$E$2:$E$1001,"Pending")</calculatedColumnFormula>
    </tableColumn>
    <tableColumn id="6" xr3:uid="{C41F483B-C2EF-4301-802C-FC31B88A2049}" name="Average progress" dataDxfId="7">
      <calculatedColumnFormula>IFERROR(AVERAGEIF('Task Register'!$B$2:$B$1001,A5,'Task Register'!$F$2:$F$1001),0)</calculatedColumnFormula>
    </tableColumn>
    <tableColumn id="7" xr3:uid="{675246A4-8E82-4053-B095-CC0B41FE7AA1}" name="Average remaining" dataDxfId="6">
      <calculatedColumnFormula>1-F5</calculatedColumnFormula>
    </tableColumn>
    <tableColumn id="8" xr3:uid="{06915D07-74E2-469A-8DC2-3B2EF275880A}" name="All tasks at 100%" dataDxfId="5">
      <calculatedColumnFormula>COUNTIFS('Task Register'!$B$2:$B$1001,A5,'Task Register'!$F$2:$F$1001,"&gt;=1")</calculatedColumnFormula>
    </tableColumn>
    <tableColumn id="9" xr3:uid="{8AF29843-1713-4D8F-8010-500EE1172F1F}" name="Exit check verified?" dataDxfId="4"/>
    <tableColumn id="10" xr3:uid="{C822601E-3370-4E22-9656-77579F5E6F0A}" name="Phase status" dataDxfId="3">
      <calculatedColumnFormula>IF(B5=0,"No tasks",IF(AND(C5=B5,H5=B5,I5="Yes"),"Complete",IF(AND(C5=B5,H5=B5),"Ready for exit review",IF(SUMIF('Task Register'!$B$2:$B$1001,A5,'Task Register'!$F$2:$F$1001)=0,"Not started","In progress"))))</calculatedColumnFormula>
    </tableColumn>
    <tableColumn id="11" xr3:uid="{59900370-94A7-44E5-95EC-A36CD569A69A}" name="Exit check / completion evidenc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18D1-28E8-47F7-A31A-F52CAFCAFF53}">
  <dimension ref="A1:B22"/>
  <sheetViews>
    <sheetView workbookViewId="0">
      <selection sqref="A1:B1"/>
    </sheetView>
  </sheetViews>
  <sheetFormatPr defaultRowHeight="14.4" x14ac:dyDescent="0.3"/>
  <cols>
    <col min="1" max="1" width="32.109375" customWidth="1"/>
    <col min="2" max="2" width="120.109375" customWidth="1"/>
  </cols>
  <sheetData>
    <row r="1" spans="1:2" ht="21" x14ac:dyDescent="0.4">
      <c r="A1" s="33" t="s">
        <v>233</v>
      </c>
      <c r="B1" s="34"/>
    </row>
    <row r="2" spans="1:2" ht="34.049999999999997" customHeight="1" x14ac:dyDescent="0.3">
      <c r="A2" s="35" t="s">
        <v>439</v>
      </c>
      <c r="B2" s="35"/>
    </row>
    <row r="4" spans="1:2" x14ac:dyDescent="0.3">
      <c r="A4" s="32"/>
      <c r="B4" s="32"/>
    </row>
    <row r="5" spans="1:2" x14ac:dyDescent="0.3">
      <c r="A5" s="1" t="s">
        <v>440</v>
      </c>
      <c r="B5" s="1"/>
    </row>
    <row r="6" spans="1:2" ht="43.2" x14ac:dyDescent="0.3">
      <c r="A6" s="1" t="s">
        <v>441</v>
      </c>
      <c r="B6" s="1"/>
    </row>
    <row r="7" spans="1:2" x14ac:dyDescent="0.3">
      <c r="A7" s="1"/>
      <c r="B7" s="1"/>
    </row>
    <row r="8" spans="1:2" x14ac:dyDescent="0.3">
      <c r="A8" s="1" t="s">
        <v>442</v>
      </c>
      <c r="B8" s="1" t="s">
        <v>443</v>
      </c>
    </row>
    <row r="9" spans="1:2" x14ac:dyDescent="0.3">
      <c r="A9" s="1" t="s">
        <v>444</v>
      </c>
      <c r="B9" s="1" t="s">
        <v>445</v>
      </c>
    </row>
    <row r="10" spans="1:2" x14ac:dyDescent="0.3">
      <c r="A10" s="1" t="s">
        <v>446</v>
      </c>
      <c r="B10" s="1" t="s">
        <v>447</v>
      </c>
    </row>
    <row r="11" spans="1:2" x14ac:dyDescent="0.3">
      <c r="A11" s="1" t="s">
        <v>448</v>
      </c>
      <c r="B11" s="1">
        <v>0</v>
      </c>
    </row>
    <row r="12" spans="1:2" x14ac:dyDescent="0.3">
      <c r="A12" s="1" t="s">
        <v>449</v>
      </c>
      <c r="B12" s="1">
        <v>5</v>
      </c>
    </row>
    <row r="13" spans="1:2" x14ac:dyDescent="0.3">
      <c r="A13" s="1" t="s">
        <v>450</v>
      </c>
      <c r="B13" s="1" t="s">
        <v>451</v>
      </c>
    </row>
    <row r="14" spans="1:2" x14ac:dyDescent="0.3">
      <c r="A14" s="1" t="s">
        <v>452</v>
      </c>
      <c r="B14" s="1" t="s">
        <v>453</v>
      </c>
    </row>
    <row r="15" spans="1:2" x14ac:dyDescent="0.3">
      <c r="A15" s="1" t="s">
        <v>454</v>
      </c>
      <c r="B15" s="1" t="s">
        <v>455</v>
      </c>
    </row>
    <row r="16" spans="1:2" ht="28.8" x14ac:dyDescent="0.3">
      <c r="A16" s="1" t="s">
        <v>456</v>
      </c>
      <c r="B16" s="1" t="s">
        <v>457</v>
      </c>
    </row>
    <row r="17" spans="1:2" ht="28.8" x14ac:dyDescent="0.3">
      <c r="A17" s="1" t="s">
        <v>458</v>
      </c>
      <c r="B17" s="1" t="s">
        <v>459</v>
      </c>
    </row>
    <row r="18" spans="1:2" x14ac:dyDescent="0.3">
      <c r="A18" s="1" t="s">
        <v>460</v>
      </c>
      <c r="B18" s="1" t="s">
        <v>461</v>
      </c>
    </row>
    <row r="19" spans="1:2" x14ac:dyDescent="0.3">
      <c r="A19" s="1" t="s">
        <v>462</v>
      </c>
      <c r="B19" s="1" t="s">
        <v>463</v>
      </c>
    </row>
    <row r="20" spans="1:2" ht="28.8" x14ac:dyDescent="0.3">
      <c r="A20" s="1" t="s">
        <v>464</v>
      </c>
      <c r="B20" s="1" t="s">
        <v>465</v>
      </c>
    </row>
    <row r="21" spans="1:2" ht="28.8" x14ac:dyDescent="0.3">
      <c r="A21" s="1" t="s">
        <v>466</v>
      </c>
      <c r="B21" s="1" t="s">
        <v>467</v>
      </c>
    </row>
    <row r="22" spans="1:2" ht="28.8" x14ac:dyDescent="0.3">
      <c r="A22" s="1" t="s">
        <v>468</v>
      </c>
      <c r="B22" s="1" t="s">
        <v>469</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935D-3C05-4E01-B255-BC011DC74F13}">
  <dimension ref="A1:O16"/>
  <sheetViews>
    <sheetView workbookViewId="0"/>
  </sheetViews>
  <sheetFormatPr defaultRowHeight="14.4" x14ac:dyDescent="0.3"/>
  <cols>
    <col min="1" max="1" width="15.109375" customWidth="1"/>
    <col min="2" max="2" width="26.109375" customWidth="1"/>
    <col min="3" max="3" width="30.109375" customWidth="1"/>
    <col min="4" max="4" width="28.109375" customWidth="1"/>
    <col min="5" max="5" width="52.109375" customWidth="1"/>
    <col min="6" max="6" width="80.109375" customWidth="1"/>
    <col min="7" max="7" width="52.109375" customWidth="1"/>
    <col min="8" max="10" width="65.109375" customWidth="1"/>
    <col min="11" max="11" width="50.109375" customWidth="1"/>
    <col min="12" max="13" width="65.109375" customWidth="1"/>
    <col min="14" max="14" width="50.109375" customWidth="1"/>
    <col min="15" max="15" width="45.109375" customWidth="1"/>
  </cols>
  <sheetData>
    <row r="1" spans="1:15" ht="21" x14ac:dyDescent="0.4">
      <c r="A1" s="33" t="s">
        <v>233</v>
      </c>
      <c r="B1" s="34"/>
      <c r="C1" s="34"/>
      <c r="D1" s="34"/>
      <c r="E1" s="34"/>
      <c r="F1" s="34"/>
      <c r="G1" s="34"/>
      <c r="H1" s="34"/>
      <c r="I1" s="34"/>
      <c r="J1" s="34"/>
      <c r="K1" s="34"/>
      <c r="L1" s="34"/>
      <c r="M1" s="34"/>
      <c r="N1" s="34"/>
      <c r="O1" s="34"/>
    </row>
    <row r="2" spans="1:15" ht="34.049999999999997" customHeight="1" x14ac:dyDescent="0.3">
      <c r="A2" s="35" t="s">
        <v>422</v>
      </c>
      <c r="B2" s="35"/>
      <c r="C2" s="35"/>
      <c r="D2" s="35"/>
      <c r="E2" s="35"/>
      <c r="F2" s="35"/>
      <c r="G2" s="35"/>
      <c r="H2" s="35"/>
      <c r="I2" s="35"/>
      <c r="J2" s="35"/>
      <c r="K2" s="35"/>
      <c r="L2" s="35"/>
      <c r="M2" s="35"/>
      <c r="N2" s="35"/>
      <c r="O2" s="35"/>
    </row>
    <row r="4" spans="1:15" x14ac:dyDescent="0.3">
      <c r="A4" s="32"/>
      <c r="B4" s="32"/>
      <c r="C4" s="32"/>
      <c r="D4" s="32"/>
      <c r="E4" s="32"/>
      <c r="F4" s="32"/>
      <c r="G4" s="32"/>
      <c r="H4" s="32"/>
      <c r="I4" s="32"/>
      <c r="J4" s="32"/>
      <c r="K4" s="32"/>
      <c r="L4" s="32"/>
      <c r="M4" s="32"/>
      <c r="N4" s="32"/>
      <c r="O4" s="32"/>
    </row>
    <row r="5" spans="1:15" ht="43.2" x14ac:dyDescent="0.3">
      <c r="A5" s="1" t="s">
        <v>423</v>
      </c>
      <c r="B5" s="1"/>
      <c r="C5" s="1"/>
      <c r="D5" s="1"/>
      <c r="E5" s="1"/>
      <c r="F5" s="1"/>
      <c r="G5" s="1"/>
      <c r="H5" s="1"/>
      <c r="I5" s="1"/>
      <c r="J5" s="1"/>
      <c r="K5" s="1"/>
      <c r="L5" s="1"/>
      <c r="M5" s="1"/>
      <c r="N5" s="1"/>
      <c r="O5" s="1"/>
    </row>
    <row r="6" spans="1:15" ht="100.8" x14ac:dyDescent="0.3">
      <c r="A6" s="1" t="s">
        <v>424</v>
      </c>
      <c r="B6" s="1"/>
      <c r="C6" s="1"/>
      <c r="D6" s="1"/>
      <c r="E6" s="1"/>
      <c r="F6" s="1"/>
      <c r="G6" s="1"/>
      <c r="H6" s="1"/>
      <c r="I6" s="1"/>
      <c r="J6" s="1"/>
      <c r="K6" s="1"/>
      <c r="L6" s="1"/>
      <c r="M6" s="1"/>
      <c r="N6" s="1"/>
      <c r="O6" s="1"/>
    </row>
    <row r="7" spans="1:15" x14ac:dyDescent="0.3">
      <c r="A7" s="1"/>
      <c r="B7" s="1"/>
      <c r="C7" s="1"/>
      <c r="D7" s="1"/>
      <c r="E7" s="1"/>
      <c r="F7" s="1"/>
      <c r="G7" s="1"/>
      <c r="H7" s="1"/>
      <c r="I7" s="1"/>
      <c r="J7" s="1"/>
      <c r="K7" s="1"/>
      <c r="L7" s="1"/>
      <c r="M7" s="1"/>
      <c r="N7" s="1"/>
      <c r="O7" s="1"/>
    </row>
    <row r="8" spans="1:15" x14ac:dyDescent="0.3">
      <c r="A8" s="1" t="s">
        <v>164</v>
      </c>
      <c r="B8" s="1" t="s">
        <v>425</v>
      </c>
      <c r="C8" s="1" t="s">
        <v>237</v>
      </c>
      <c r="D8" s="1" t="s">
        <v>166</v>
      </c>
      <c r="E8" s="1" t="s">
        <v>426</v>
      </c>
      <c r="F8" s="1" t="s">
        <v>427</v>
      </c>
      <c r="G8" s="1" t="s">
        <v>171</v>
      </c>
      <c r="H8" s="1" t="s">
        <v>428</v>
      </c>
      <c r="I8" s="1" t="s">
        <v>429</v>
      </c>
      <c r="J8" s="1" t="s">
        <v>430</v>
      </c>
      <c r="K8" s="1" t="s">
        <v>431</v>
      </c>
      <c r="L8" s="1" t="s">
        <v>175</v>
      </c>
      <c r="M8" s="1" t="s">
        <v>432</v>
      </c>
      <c r="N8" s="1" t="s">
        <v>433</v>
      </c>
      <c r="O8" s="1" t="s">
        <v>434</v>
      </c>
    </row>
    <row r="9" spans="1:15" ht="43.2" x14ac:dyDescent="0.3">
      <c r="A9" s="1" t="s">
        <v>241</v>
      </c>
      <c r="B9" s="1" t="s">
        <v>435</v>
      </c>
      <c r="C9" s="1" t="s">
        <v>242</v>
      </c>
      <c r="D9" s="1" t="s">
        <v>243</v>
      </c>
      <c r="E9" s="1" t="s">
        <v>251</v>
      </c>
      <c r="F9" s="1" t="s">
        <v>255</v>
      </c>
      <c r="G9" s="1" t="s">
        <v>259</v>
      </c>
      <c r="H9" s="1" t="s">
        <v>264</v>
      </c>
      <c r="I9" s="1" t="s">
        <v>266</v>
      </c>
      <c r="J9" s="1" t="s">
        <v>268</v>
      </c>
      <c r="K9" s="1" t="s">
        <v>275</v>
      </c>
      <c r="L9" s="1" t="s">
        <v>272</v>
      </c>
      <c r="M9" s="1" t="s">
        <v>286</v>
      </c>
      <c r="N9" s="1" t="s">
        <v>436</v>
      </c>
      <c r="O9" s="1" t="s">
        <v>437</v>
      </c>
    </row>
    <row r="10" spans="1:15" ht="43.2" x14ac:dyDescent="0.3">
      <c r="A10" s="1" t="s">
        <v>292</v>
      </c>
      <c r="B10" s="1" t="s">
        <v>435</v>
      </c>
      <c r="C10" s="1" t="s">
        <v>293</v>
      </c>
      <c r="D10" s="1" t="s">
        <v>294</v>
      </c>
      <c r="E10" s="1" t="s">
        <v>297</v>
      </c>
      <c r="F10" s="1" t="s">
        <v>299</v>
      </c>
      <c r="G10" s="1" t="s">
        <v>301</v>
      </c>
      <c r="H10" s="1" t="s">
        <v>303</v>
      </c>
      <c r="I10" s="1" t="s">
        <v>304</v>
      </c>
      <c r="J10" s="1" t="s">
        <v>305</v>
      </c>
      <c r="K10" s="1" t="s">
        <v>308</v>
      </c>
      <c r="L10" s="1" t="s">
        <v>307</v>
      </c>
      <c r="M10" s="1" t="s">
        <v>313</v>
      </c>
      <c r="N10" s="1" t="s">
        <v>436</v>
      </c>
      <c r="O10" s="1" t="s">
        <v>437</v>
      </c>
    </row>
    <row r="11" spans="1:15" ht="43.2" x14ac:dyDescent="0.3">
      <c r="A11" s="1" t="s">
        <v>316</v>
      </c>
      <c r="B11" s="1" t="s">
        <v>435</v>
      </c>
      <c r="C11" s="1" t="s">
        <v>317</v>
      </c>
      <c r="D11" s="1" t="s">
        <v>243</v>
      </c>
      <c r="E11" s="1" t="s">
        <v>319</v>
      </c>
      <c r="F11" s="1" t="s">
        <v>321</v>
      </c>
      <c r="G11" s="1" t="s">
        <v>323</v>
      </c>
      <c r="H11" s="1" t="s">
        <v>325</v>
      </c>
      <c r="I11" s="1" t="s">
        <v>326</v>
      </c>
      <c r="J11" s="1" t="s">
        <v>327</v>
      </c>
      <c r="K11" s="1" t="s">
        <v>330</v>
      </c>
      <c r="L11" s="1" t="s">
        <v>329</v>
      </c>
      <c r="M11" s="1" t="s">
        <v>335</v>
      </c>
      <c r="N11" s="1" t="s">
        <v>436</v>
      </c>
      <c r="O11" s="1" t="s">
        <v>437</v>
      </c>
    </row>
    <row r="12" spans="1:15" ht="43.2" x14ac:dyDescent="0.3">
      <c r="A12" s="1" t="s">
        <v>338</v>
      </c>
      <c r="B12" s="1" t="s">
        <v>435</v>
      </c>
      <c r="C12" s="1" t="s">
        <v>339</v>
      </c>
      <c r="D12" s="1" t="s">
        <v>340</v>
      </c>
      <c r="E12" s="1" t="s">
        <v>343</v>
      </c>
      <c r="F12" s="1" t="s">
        <v>345</v>
      </c>
      <c r="G12" s="1" t="s">
        <v>347</v>
      </c>
      <c r="H12" s="1" t="s">
        <v>349</v>
      </c>
      <c r="I12" s="1" t="s">
        <v>350</v>
      </c>
      <c r="J12" s="1" t="s">
        <v>351</v>
      </c>
      <c r="K12" s="1" t="s">
        <v>354</v>
      </c>
      <c r="L12" s="1" t="s">
        <v>353</v>
      </c>
      <c r="M12" s="1" t="s">
        <v>359</v>
      </c>
      <c r="N12" s="1" t="s">
        <v>436</v>
      </c>
      <c r="O12" s="1" t="s">
        <v>437</v>
      </c>
    </row>
    <row r="13" spans="1:15" ht="43.2" x14ac:dyDescent="0.3">
      <c r="A13" s="1" t="s">
        <v>362</v>
      </c>
      <c r="B13" s="1" t="s">
        <v>435</v>
      </c>
      <c r="C13" s="1" t="s">
        <v>363</v>
      </c>
      <c r="D13" s="1" t="s">
        <v>243</v>
      </c>
      <c r="E13" s="1" t="s">
        <v>366</v>
      </c>
      <c r="F13" s="1" t="s">
        <v>368</v>
      </c>
      <c r="G13" s="1" t="s">
        <v>370</v>
      </c>
      <c r="H13" s="1" t="s">
        <v>372</v>
      </c>
      <c r="I13" s="1" t="s">
        <v>373</v>
      </c>
      <c r="J13" s="1" t="s">
        <v>374</v>
      </c>
      <c r="K13" s="1" t="s">
        <v>377</v>
      </c>
      <c r="L13" s="1" t="s">
        <v>376</v>
      </c>
      <c r="M13" s="1" t="s">
        <v>382</v>
      </c>
      <c r="N13" s="1" t="s">
        <v>436</v>
      </c>
      <c r="O13" s="1" t="s">
        <v>437</v>
      </c>
    </row>
    <row r="14" spans="1:15" x14ac:dyDescent="0.3">
      <c r="A14" s="1" t="s">
        <v>184</v>
      </c>
      <c r="B14" s="1" t="s">
        <v>438</v>
      </c>
      <c r="C14" s="1"/>
      <c r="D14" s="1"/>
      <c r="E14" s="1"/>
      <c r="F14" s="1"/>
      <c r="G14" s="1"/>
      <c r="H14" s="1"/>
      <c r="I14" s="1"/>
      <c r="J14" s="1"/>
      <c r="K14" s="1"/>
      <c r="L14" s="1"/>
      <c r="M14" s="1"/>
      <c r="N14" s="1"/>
      <c r="O14" s="1"/>
    </row>
    <row r="15" spans="1:15" x14ac:dyDescent="0.3">
      <c r="A15" s="1" t="s">
        <v>185</v>
      </c>
      <c r="B15" s="1" t="s">
        <v>438</v>
      </c>
      <c r="C15" s="1"/>
      <c r="D15" s="1"/>
      <c r="E15" s="1"/>
      <c r="F15" s="1"/>
      <c r="G15" s="1"/>
      <c r="H15" s="1"/>
      <c r="I15" s="1"/>
      <c r="J15" s="1"/>
      <c r="K15" s="1"/>
      <c r="L15" s="1"/>
      <c r="M15" s="1"/>
      <c r="N15" s="1"/>
      <c r="O15" s="1"/>
    </row>
    <row r="16" spans="1:15" x14ac:dyDescent="0.3">
      <c r="A16" s="1" t="s">
        <v>186</v>
      </c>
      <c r="B16" s="1" t="s">
        <v>438</v>
      </c>
      <c r="C16" s="1"/>
      <c r="D16" s="1"/>
      <c r="E16" s="1"/>
      <c r="F16" s="1"/>
      <c r="G16" s="1"/>
      <c r="H16" s="1"/>
      <c r="I16" s="1"/>
      <c r="J16" s="1"/>
      <c r="K16" s="1"/>
      <c r="L16" s="1"/>
      <c r="M16" s="1"/>
      <c r="N16" s="1"/>
      <c r="O16" s="1"/>
    </row>
  </sheetData>
  <mergeCells count="2">
    <mergeCell ref="A1:O1"/>
    <mergeCell ref="A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0C70-89AD-41B7-8FA9-AB8F3A296602}">
  <dimension ref="A1:F14"/>
  <sheetViews>
    <sheetView workbookViewId="0"/>
  </sheetViews>
  <sheetFormatPr defaultRowHeight="14.4" x14ac:dyDescent="0.3"/>
  <cols>
    <col min="1" max="1" width="34.109375" customWidth="1"/>
    <col min="2" max="2" width="29.109375" customWidth="1"/>
    <col min="3" max="3" width="16.109375" customWidth="1"/>
    <col min="4" max="6" width="65.109375" customWidth="1"/>
  </cols>
  <sheetData>
    <row r="1" spans="1:6" ht="21" x14ac:dyDescent="0.4">
      <c r="A1" s="33" t="s">
        <v>233</v>
      </c>
      <c r="B1" s="34"/>
      <c r="C1" s="34"/>
      <c r="D1" s="34"/>
      <c r="E1" s="34"/>
      <c r="F1" s="34"/>
    </row>
    <row r="2" spans="1:6" ht="34.049999999999997" customHeight="1" x14ac:dyDescent="0.3">
      <c r="A2" s="35" t="s">
        <v>385</v>
      </c>
      <c r="B2" s="35"/>
      <c r="C2" s="35"/>
      <c r="D2" s="35"/>
      <c r="E2" s="35"/>
      <c r="F2" s="35"/>
    </row>
    <row r="4" spans="1:6" x14ac:dyDescent="0.3">
      <c r="A4" s="32"/>
      <c r="B4" s="32"/>
      <c r="C4" s="32"/>
      <c r="D4" s="32"/>
      <c r="E4" s="32"/>
      <c r="F4" s="32"/>
    </row>
    <row r="5" spans="1:6" ht="28.8" x14ac:dyDescent="0.3">
      <c r="A5" s="1" t="s">
        <v>386</v>
      </c>
      <c r="B5" s="1"/>
      <c r="C5" s="1"/>
      <c r="D5" s="1"/>
      <c r="E5" s="1"/>
      <c r="F5" s="1"/>
    </row>
    <row r="6" spans="1:6" ht="43.2" x14ac:dyDescent="0.3">
      <c r="A6" s="1" t="s">
        <v>387</v>
      </c>
      <c r="B6" s="1"/>
      <c r="C6" s="1"/>
      <c r="D6" s="1"/>
      <c r="E6" s="1"/>
      <c r="F6" s="1"/>
    </row>
    <row r="7" spans="1:6" x14ac:dyDescent="0.3">
      <c r="A7" s="1"/>
      <c r="B7" s="1"/>
      <c r="C7" s="1"/>
      <c r="D7" s="1"/>
      <c r="E7" s="1"/>
      <c r="F7" s="1"/>
    </row>
    <row r="8" spans="1:6" x14ac:dyDescent="0.3">
      <c r="A8" s="1" t="s">
        <v>388</v>
      </c>
      <c r="B8" s="1" t="s">
        <v>389</v>
      </c>
      <c r="C8" s="1" t="s">
        <v>390</v>
      </c>
      <c r="D8" s="1" t="s">
        <v>391</v>
      </c>
      <c r="E8" s="1" t="s">
        <v>392</v>
      </c>
      <c r="F8" s="1" t="s">
        <v>393</v>
      </c>
    </row>
    <row r="9" spans="1:6" ht="28.8" x14ac:dyDescent="0.3">
      <c r="A9" s="1" t="s">
        <v>394</v>
      </c>
      <c r="B9" s="1" t="s">
        <v>395</v>
      </c>
      <c r="C9" s="1">
        <v>3</v>
      </c>
      <c r="D9" s="1" t="s">
        <v>396</v>
      </c>
      <c r="E9" s="1" t="s">
        <v>397</v>
      </c>
      <c r="F9" s="1" t="s">
        <v>398</v>
      </c>
    </row>
    <row r="10" spans="1:6" ht="28.8" x14ac:dyDescent="0.3">
      <c r="A10" s="1" t="s">
        <v>399</v>
      </c>
      <c r="B10" s="1" t="s">
        <v>400</v>
      </c>
      <c r="C10" s="1">
        <v>2</v>
      </c>
      <c r="D10" s="1" t="s">
        <v>401</v>
      </c>
      <c r="E10" s="1" t="s">
        <v>402</v>
      </c>
      <c r="F10" s="1" t="s">
        <v>403</v>
      </c>
    </row>
    <row r="11" spans="1:6" ht="28.8" x14ac:dyDescent="0.3">
      <c r="A11" s="1" t="s">
        <v>404</v>
      </c>
      <c r="B11" s="1" t="s">
        <v>395</v>
      </c>
      <c r="C11" s="1">
        <v>3</v>
      </c>
      <c r="D11" s="1" t="s">
        <v>405</v>
      </c>
      <c r="E11" s="1" t="s">
        <v>406</v>
      </c>
      <c r="F11" s="1" t="s">
        <v>407</v>
      </c>
    </row>
    <row r="12" spans="1:6" ht="28.8" x14ac:dyDescent="0.3">
      <c r="A12" s="1" t="s">
        <v>408</v>
      </c>
      <c r="B12" s="1" t="s">
        <v>292</v>
      </c>
      <c r="C12" s="1">
        <v>1</v>
      </c>
      <c r="D12" s="1" t="s">
        <v>409</v>
      </c>
      <c r="E12" s="1" t="s">
        <v>410</v>
      </c>
      <c r="F12" s="1" t="s">
        <v>411</v>
      </c>
    </row>
    <row r="13" spans="1:6" ht="28.8" x14ac:dyDescent="0.3">
      <c r="A13" s="1" t="s">
        <v>412</v>
      </c>
      <c r="B13" s="1" t="s">
        <v>413</v>
      </c>
      <c r="C13" s="1">
        <v>4</v>
      </c>
      <c r="D13" s="1" t="s">
        <v>414</v>
      </c>
      <c r="E13" s="1" t="s">
        <v>415</v>
      </c>
      <c r="F13" s="1" t="s">
        <v>416</v>
      </c>
    </row>
    <row r="14" spans="1:6" ht="28.8" x14ac:dyDescent="0.3">
      <c r="A14" s="1" t="s">
        <v>417</v>
      </c>
      <c r="B14" s="1" t="s">
        <v>418</v>
      </c>
      <c r="C14" s="1">
        <v>2</v>
      </c>
      <c r="D14" s="1" t="s">
        <v>419</v>
      </c>
      <c r="E14" s="1" t="s">
        <v>420</v>
      </c>
      <c r="F14" s="1" t="s">
        <v>421</v>
      </c>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0A703-B5DF-4CCB-BCE7-F8CB80725FE2}">
  <dimension ref="A1:F113"/>
  <sheetViews>
    <sheetView workbookViewId="0"/>
  </sheetViews>
  <sheetFormatPr defaultRowHeight="14.4" x14ac:dyDescent="0.3"/>
  <cols>
    <col min="1" max="1" width="15.109375" customWidth="1"/>
    <col min="2" max="2" width="30.109375" customWidth="1"/>
    <col min="3" max="3" width="28.109375" customWidth="1"/>
    <col min="4" max="4" width="25.109375" customWidth="1"/>
    <col min="5" max="5" width="52.109375" customWidth="1"/>
    <col min="6" max="6" width="110.109375" customWidth="1"/>
  </cols>
  <sheetData>
    <row r="1" spans="1:6" ht="21" x14ac:dyDescent="0.4">
      <c r="A1" s="33" t="s">
        <v>233</v>
      </c>
      <c r="B1" s="34"/>
      <c r="C1" s="34"/>
      <c r="D1" s="34"/>
      <c r="E1" s="34"/>
      <c r="F1" s="34"/>
    </row>
    <row r="2" spans="1:6" ht="34.049999999999997" customHeight="1" x14ac:dyDescent="0.3">
      <c r="A2" s="35" t="s">
        <v>234</v>
      </c>
      <c r="B2" s="35"/>
      <c r="C2" s="35"/>
      <c r="D2" s="35"/>
      <c r="E2" s="35"/>
      <c r="F2" s="35"/>
    </row>
    <row r="4" spans="1:6" x14ac:dyDescent="0.3">
      <c r="A4" s="32"/>
      <c r="B4" s="32"/>
      <c r="C4" s="32"/>
      <c r="D4" s="32"/>
      <c r="E4" s="32"/>
      <c r="F4" s="32"/>
    </row>
    <row r="5" spans="1:6" ht="43.2" x14ac:dyDescent="0.3">
      <c r="A5" s="1" t="s">
        <v>235</v>
      </c>
      <c r="B5" s="1"/>
      <c r="C5" s="1"/>
      <c r="D5" s="1"/>
      <c r="E5" s="1"/>
      <c r="F5" s="1"/>
    </row>
    <row r="6" spans="1:6" ht="100.8" x14ac:dyDescent="0.3">
      <c r="A6" s="1" t="s">
        <v>236</v>
      </c>
      <c r="B6" s="1"/>
      <c r="C6" s="1"/>
      <c r="D6" s="1"/>
      <c r="E6" s="1"/>
      <c r="F6" s="1"/>
    </row>
    <row r="7" spans="1:6" x14ac:dyDescent="0.3">
      <c r="A7" s="1"/>
      <c r="B7" s="1"/>
      <c r="C7" s="1"/>
      <c r="D7" s="1"/>
      <c r="E7" s="1"/>
      <c r="F7" s="1"/>
    </row>
    <row r="8" spans="1:6" x14ac:dyDescent="0.3">
      <c r="A8" s="1" t="s">
        <v>164</v>
      </c>
      <c r="B8" s="1" t="s">
        <v>237</v>
      </c>
      <c r="C8" s="1" t="s">
        <v>166</v>
      </c>
      <c r="D8" s="1" t="s">
        <v>238</v>
      </c>
      <c r="E8" s="1" t="s">
        <v>239</v>
      </c>
      <c r="F8" s="1" t="s">
        <v>240</v>
      </c>
    </row>
    <row r="9" spans="1:6" x14ac:dyDescent="0.3">
      <c r="A9" s="1" t="s">
        <v>241</v>
      </c>
      <c r="B9" s="1" t="s">
        <v>242</v>
      </c>
      <c r="C9" s="1" t="s">
        <v>243</v>
      </c>
      <c r="D9" s="1" t="s">
        <v>244</v>
      </c>
      <c r="E9" s="1" t="s">
        <v>245</v>
      </c>
      <c r="F9" s="1" t="s">
        <v>246</v>
      </c>
    </row>
    <row r="10" spans="1:6" x14ac:dyDescent="0.3">
      <c r="A10" s="1" t="s">
        <v>241</v>
      </c>
      <c r="B10" s="1" t="s">
        <v>242</v>
      </c>
      <c r="C10" s="1" t="s">
        <v>243</v>
      </c>
      <c r="D10" s="1" t="s">
        <v>244</v>
      </c>
      <c r="E10" s="1" t="s">
        <v>247</v>
      </c>
      <c r="F10" s="1" t="s">
        <v>248</v>
      </c>
    </row>
    <row r="11" spans="1:6" x14ac:dyDescent="0.3">
      <c r="A11" s="1" t="s">
        <v>241</v>
      </c>
      <c r="B11" s="1" t="s">
        <v>242</v>
      </c>
      <c r="C11" s="1" t="s">
        <v>243</v>
      </c>
      <c r="D11" s="1" t="s">
        <v>249</v>
      </c>
      <c r="E11" s="1" t="s">
        <v>250</v>
      </c>
      <c r="F11" s="1" t="s">
        <v>251</v>
      </c>
    </row>
    <row r="12" spans="1:6" ht="28.8" x14ac:dyDescent="0.3">
      <c r="A12" s="1" t="s">
        <v>241</v>
      </c>
      <c r="B12" s="1" t="s">
        <v>242</v>
      </c>
      <c r="C12" s="1" t="s">
        <v>243</v>
      </c>
      <c r="D12" s="1" t="s">
        <v>249</v>
      </c>
      <c r="E12" s="1" t="s">
        <v>252</v>
      </c>
      <c r="F12" s="1" t="s">
        <v>253</v>
      </c>
    </row>
    <row r="13" spans="1:6" ht="43.2" x14ac:dyDescent="0.3">
      <c r="A13" s="1" t="s">
        <v>241</v>
      </c>
      <c r="B13" s="1" t="s">
        <v>242</v>
      </c>
      <c r="C13" s="1" t="s">
        <v>243</v>
      </c>
      <c r="D13" s="1" t="s">
        <v>249</v>
      </c>
      <c r="E13" s="1" t="s">
        <v>254</v>
      </c>
      <c r="F13" s="1" t="s">
        <v>255</v>
      </c>
    </row>
    <row r="14" spans="1:6" ht="28.8" x14ac:dyDescent="0.3">
      <c r="A14" s="1" t="s">
        <v>241</v>
      </c>
      <c r="B14" s="1" t="s">
        <v>242</v>
      </c>
      <c r="C14" s="1" t="s">
        <v>243</v>
      </c>
      <c r="D14" s="1" t="s">
        <v>249</v>
      </c>
      <c r="E14" s="1" t="s">
        <v>256</v>
      </c>
      <c r="F14" s="1" t="s">
        <v>257</v>
      </c>
    </row>
    <row r="15" spans="1:6" ht="28.8" x14ac:dyDescent="0.3">
      <c r="A15" s="1" t="s">
        <v>241</v>
      </c>
      <c r="B15" s="1" t="s">
        <v>242</v>
      </c>
      <c r="C15" s="1" t="s">
        <v>243</v>
      </c>
      <c r="D15" s="1" t="s">
        <v>249</v>
      </c>
      <c r="E15" s="1" t="s">
        <v>258</v>
      </c>
      <c r="F15" s="1" t="s">
        <v>259</v>
      </c>
    </row>
    <row r="16" spans="1:6" ht="28.8" x14ac:dyDescent="0.3">
      <c r="A16" s="1" t="s">
        <v>241</v>
      </c>
      <c r="B16" s="1" t="s">
        <v>242</v>
      </c>
      <c r="C16" s="1" t="s">
        <v>243</v>
      </c>
      <c r="D16" s="1" t="s">
        <v>249</v>
      </c>
      <c r="E16" s="1" t="s">
        <v>260</v>
      </c>
      <c r="F16" s="1" t="s">
        <v>261</v>
      </c>
    </row>
    <row r="17" spans="1:6" ht="28.8" x14ac:dyDescent="0.3">
      <c r="A17" s="1" t="s">
        <v>241</v>
      </c>
      <c r="B17" s="1" t="s">
        <v>242</v>
      </c>
      <c r="C17" s="1" t="s">
        <v>243</v>
      </c>
      <c r="D17" s="1" t="s">
        <v>262</v>
      </c>
      <c r="E17" s="1" t="s">
        <v>263</v>
      </c>
      <c r="F17" s="1" t="s">
        <v>264</v>
      </c>
    </row>
    <row r="18" spans="1:6" ht="28.8" x14ac:dyDescent="0.3">
      <c r="A18" s="1" t="s">
        <v>241</v>
      </c>
      <c r="B18" s="1" t="s">
        <v>242</v>
      </c>
      <c r="C18" s="1" t="s">
        <v>243</v>
      </c>
      <c r="D18" s="1" t="s">
        <v>262</v>
      </c>
      <c r="E18" s="1" t="s">
        <v>265</v>
      </c>
      <c r="F18" s="1" t="s">
        <v>266</v>
      </c>
    </row>
    <row r="19" spans="1:6" ht="28.8" x14ac:dyDescent="0.3">
      <c r="A19" s="1" t="s">
        <v>241</v>
      </c>
      <c r="B19" s="1" t="s">
        <v>242</v>
      </c>
      <c r="C19" s="1" t="s">
        <v>243</v>
      </c>
      <c r="D19" s="1" t="s">
        <v>262</v>
      </c>
      <c r="E19" s="1" t="s">
        <v>267</v>
      </c>
      <c r="F19" s="1" t="s">
        <v>268</v>
      </c>
    </row>
    <row r="20" spans="1:6" ht="28.8" x14ac:dyDescent="0.3">
      <c r="A20" s="1" t="s">
        <v>241</v>
      </c>
      <c r="B20" s="1" t="s">
        <v>242</v>
      </c>
      <c r="C20" s="1" t="s">
        <v>243</v>
      </c>
      <c r="D20" s="1" t="s">
        <v>262</v>
      </c>
      <c r="E20" s="1" t="s">
        <v>269</v>
      </c>
      <c r="F20" s="1" t="s">
        <v>270</v>
      </c>
    </row>
    <row r="21" spans="1:6" x14ac:dyDescent="0.3">
      <c r="A21" s="1" t="s">
        <v>241</v>
      </c>
      <c r="B21" s="1" t="s">
        <v>242</v>
      </c>
      <c r="C21" s="1" t="s">
        <v>243</v>
      </c>
      <c r="D21" s="1" t="s">
        <v>262</v>
      </c>
      <c r="E21" s="1" t="s">
        <v>271</v>
      </c>
      <c r="F21" s="1" t="s">
        <v>272</v>
      </c>
    </row>
    <row r="22" spans="1:6" ht="28.8" x14ac:dyDescent="0.3">
      <c r="A22" s="1" t="s">
        <v>241</v>
      </c>
      <c r="B22" s="1" t="s">
        <v>242</v>
      </c>
      <c r="C22" s="1" t="s">
        <v>243</v>
      </c>
      <c r="D22" s="1" t="s">
        <v>273</v>
      </c>
      <c r="E22" s="1" t="s">
        <v>274</v>
      </c>
      <c r="F22" s="1" t="s">
        <v>275</v>
      </c>
    </row>
    <row r="23" spans="1:6" x14ac:dyDescent="0.3">
      <c r="A23" s="1" t="s">
        <v>241</v>
      </c>
      <c r="B23" s="1" t="s">
        <v>242</v>
      </c>
      <c r="C23" s="1" t="s">
        <v>243</v>
      </c>
      <c r="D23" s="1" t="s">
        <v>273</v>
      </c>
      <c r="E23" s="1" t="s">
        <v>276</v>
      </c>
      <c r="F23" s="1" t="s">
        <v>277</v>
      </c>
    </row>
    <row r="24" spans="1:6" x14ac:dyDescent="0.3">
      <c r="A24" s="1" t="s">
        <v>241</v>
      </c>
      <c r="B24" s="1" t="s">
        <v>242</v>
      </c>
      <c r="C24" s="1" t="s">
        <v>243</v>
      </c>
      <c r="D24" s="1" t="s">
        <v>273</v>
      </c>
      <c r="E24" s="1" t="s">
        <v>278</v>
      </c>
      <c r="F24" s="1" t="s">
        <v>279</v>
      </c>
    </row>
    <row r="25" spans="1:6" x14ac:dyDescent="0.3">
      <c r="A25" s="1" t="s">
        <v>241</v>
      </c>
      <c r="B25" s="1" t="s">
        <v>242</v>
      </c>
      <c r="C25" s="1" t="s">
        <v>243</v>
      </c>
      <c r="D25" s="1" t="s">
        <v>273</v>
      </c>
      <c r="E25" s="1" t="s">
        <v>280</v>
      </c>
      <c r="F25" s="1" t="s">
        <v>281</v>
      </c>
    </row>
    <row r="26" spans="1:6" ht="28.8" x14ac:dyDescent="0.3">
      <c r="A26" s="1" t="s">
        <v>241</v>
      </c>
      <c r="B26" s="1" t="s">
        <v>242</v>
      </c>
      <c r="C26" s="1" t="s">
        <v>243</v>
      </c>
      <c r="D26" s="1" t="s">
        <v>282</v>
      </c>
      <c r="E26" s="1" t="s">
        <v>283</v>
      </c>
      <c r="F26" s="1" t="s">
        <v>284</v>
      </c>
    </row>
    <row r="27" spans="1:6" ht="28.8" x14ac:dyDescent="0.3">
      <c r="A27" s="1" t="s">
        <v>241</v>
      </c>
      <c r="B27" s="1" t="s">
        <v>242</v>
      </c>
      <c r="C27" s="1" t="s">
        <v>243</v>
      </c>
      <c r="D27" s="1" t="s">
        <v>282</v>
      </c>
      <c r="E27" s="1" t="s">
        <v>285</v>
      </c>
      <c r="F27" s="1" t="s">
        <v>286</v>
      </c>
    </row>
    <row r="28" spans="1:6" x14ac:dyDescent="0.3">
      <c r="A28" s="1" t="s">
        <v>241</v>
      </c>
      <c r="B28" s="1" t="s">
        <v>242</v>
      </c>
      <c r="C28" s="1" t="s">
        <v>243</v>
      </c>
      <c r="D28" s="1" t="s">
        <v>287</v>
      </c>
      <c r="E28" s="1" t="s">
        <v>288</v>
      </c>
      <c r="F28" s="1" t="s">
        <v>289</v>
      </c>
    </row>
    <row r="29" spans="1:6" ht="28.8" x14ac:dyDescent="0.3">
      <c r="A29" s="1" t="s">
        <v>241</v>
      </c>
      <c r="B29" s="1" t="s">
        <v>242</v>
      </c>
      <c r="C29" s="1" t="s">
        <v>243</v>
      </c>
      <c r="D29" s="1" t="s">
        <v>287</v>
      </c>
      <c r="E29" s="1" t="s">
        <v>290</v>
      </c>
      <c r="F29" s="1" t="s">
        <v>291</v>
      </c>
    </row>
    <row r="30" spans="1:6" ht="28.8" x14ac:dyDescent="0.3">
      <c r="A30" s="1" t="s">
        <v>292</v>
      </c>
      <c r="B30" s="1" t="s">
        <v>293</v>
      </c>
      <c r="C30" s="1" t="s">
        <v>294</v>
      </c>
      <c r="D30" s="1" t="s">
        <v>244</v>
      </c>
      <c r="E30" s="1" t="s">
        <v>245</v>
      </c>
      <c r="F30" s="1" t="s">
        <v>295</v>
      </c>
    </row>
    <row r="31" spans="1:6" x14ac:dyDescent="0.3">
      <c r="A31" s="1" t="s">
        <v>292</v>
      </c>
      <c r="B31" s="1" t="s">
        <v>293</v>
      </c>
      <c r="C31" s="1" t="s">
        <v>294</v>
      </c>
      <c r="D31" s="1" t="s">
        <v>244</v>
      </c>
      <c r="E31" s="1" t="s">
        <v>247</v>
      </c>
      <c r="F31" s="1" t="s">
        <v>296</v>
      </c>
    </row>
    <row r="32" spans="1:6" ht="28.8" x14ac:dyDescent="0.3">
      <c r="A32" s="1" t="s">
        <v>292</v>
      </c>
      <c r="B32" s="1" t="s">
        <v>293</v>
      </c>
      <c r="C32" s="1" t="s">
        <v>294</v>
      </c>
      <c r="D32" s="1" t="s">
        <v>249</v>
      </c>
      <c r="E32" s="1" t="s">
        <v>250</v>
      </c>
      <c r="F32" s="1" t="s">
        <v>297</v>
      </c>
    </row>
    <row r="33" spans="1:6" ht="28.8" x14ac:dyDescent="0.3">
      <c r="A33" s="1" t="s">
        <v>292</v>
      </c>
      <c r="B33" s="1" t="s">
        <v>293</v>
      </c>
      <c r="C33" s="1" t="s">
        <v>294</v>
      </c>
      <c r="D33" s="1" t="s">
        <v>249</v>
      </c>
      <c r="E33" s="1" t="s">
        <v>252</v>
      </c>
      <c r="F33" s="1" t="s">
        <v>298</v>
      </c>
    </row>
    <row r="34" spans="1:6" ht="43.2" x14ac:dyDescent="0.3">
      <c r="A34" s="1" t="s">
        <v>292</v>
      </c>
      <c r="B34" s="1" t="s">
        <v>293</v>
      </c>
      <c r="C34" s="1" t="s">
        <v>294</v>
      </c>
      <c r="D34" s="1" t="s">
        <v>249</v>
      </c>
      <c r="E34" s="1" t="s">
        <v>254</v>
      </c>
      <c r="F34" s="1" t="s">
        <v>299</v>
      </c>
    </row>
    <row r="35" spans="1:6" ht="28.8" x14ac:dyDescent="0.3">
      <c r="A35" s="1" t="s">
        <v>292</v>
      </c>
      <c r="B35" s="1" t="s">
        <v>293</v>
      </c>
      <c r="C35" s="1" t="s">
        <v>294</v>
      </c>
      <c r="D35" s="1" t="s">
        <v>249</v>
      </c>
      <c r="E35" s="1" t="s">
        <v>256</v>
      </c>
      <c r="F35" s="1" t="s">
        <v>300</v>
      </c>
    </row>
    <row r="36" spans="1:6" ht="28.8" x14ac:dyDescent="0.3">
      <c r="A36" s="1" t="s">
        <v>292</v>
      </c>
      <c r="B36" s="1" t="s">
        <v>293</v>
      </c>
      <c r="C36" s="1" t="s">
        <v>294</v>
      </c>
      <c r="D36" s="1" t="s">
        <v>249</v>
      </c>
      <c r="E36" s="1" t="s">
        <v>258</v>
      </c>
      <c r="F36" s="1" t="s">
        <v>301</v>
      </c>
    </row>
    <row r="37" spans="1:6" ht="28.8" x14ac:dyDescent="0.3">
      <c r="A37" s="1" t="s">
        <v>292</v>
      </c>
      <c r="B37" s="1" t="s">
        <v>293</v>
      </c>
      <c r="C37" s="1" t="s">
        <v>294</v>
      </c>
      <c r="D37" s="1" t="s">
        <v>249</v>
      </c>
      <c r="E37" s="1" t="s">
        <v>260</v>
      </c>
      <c r="F37" s="1" t="s">
        <v>302</v>
      </c>
    </row>
    <row r="38" spans="1:6" ht="28.8" x14ac:dyDescent="0.3">
      <c r="A38" s="1" t="s">
        <v>292</v>
      </c>
      <c r="B38" s="1" t="s">
        <v>293</v>
      </c>
      <c r="C38" s="1" t="s">
        <v>294</v>
      </c>
      <c r="D38" s="1" t="s">
        <v>262</v>
      </c>
      <c r="E38" s="1" t="s">
        <v>263</v>
      </c>
      <c r="F38" s="1" t="s">
        <v>303</v>
      </c>
    </row>
    <row r="39" spans="1:6" ht="28.8" x14ac:dyDescent="0.3">
      <c r="A39" s="1" t="s">
        <v>292</v>
      </c>
      <c r="B39" s="1" t="s">
        <v>293</v>
      </c>
      <c r="C39" s="1" t="s">
        <v>294</v>
      </c>
      <c r="D39" s="1" t="s">
        <v>262</v>
      </c>
      <c r="E39" s="1" t="s">
        <v>265</v>
      </c>
      <c r="F39" s="1" t="s">
        <v>304</v>
      </c>
    </row>
    <row r="40" spans="1:6" ht="28.8" x14ac:dyDescent="0.3">
      <c r="A40" s="1" t="s">
        <v>292</v>
      </c>
      <c r="B40" s="1" t="s">
        <v>293</v>
      </c>
      <c r="C40" s="1" t="s">
        <v>294</v>
      </c>
      <c r="D40" s="1" t="s">
        <v>262</v>
      </c>
      <c r="E40" s="1" t="s">
        <v>267</v>
      </c>
      <c r="F40" s="1" t="s">
        <v>305</v>
      </c>
    </row>
    <row r="41" spans="1:6" ht="28.8" x14ac:dyDescent="0.3">
      <c r="A41" s="1" t="s">
        <v>292</v>
      </c>
      <c r="B41" s="1" t="s">
        <v>293</v>
      </c>
      <c r="C41" s="1" t="s">
        <v>294</v>
      </c>
      <c r="D41" s="1" t="s">
        <v>262</v>
      </c>
      <c r="E41" s="1" t="s">
        <v>269</v>
      </c>
      <c r="F41" s="1" t="s">
        <v>306</v>
      </c>
    </row>
    <row r="42" spans="1:6" x14ac:dyDescent="0.3">
      <c r="A42" s="1" t="s">
        <v>292</v>
      </c>
      <c r="B42" s="1" t="s">
        <v>293</v>
      </c>
      <c r="C42" s="1" t="s">
        <v>294</v>
      </c>
      <c r="D42" s="1" t="s">
        <v>262</v>
      </c>
      <c r="E42" s="1" t="s">
        <v>271</v>
      </c>
      <c r="F42" s="1" t="s">
        <v>307</v>
      </c>
    </row>
    <row r="43" spans="1:6" ht="28.8" x14ac:dyDescent="0.3">
      <c r="A43" s="1" t="s">
        <v>292</v>
      </c>
      <c r="B43" s="1" t="s">
        <v>293</v>
      </c>
      <c r="C43" s="1" t="s">
        <v>294</v>
      </c>
      <c r="D43" s="1" t="s">
        <v>273</v>
      </c>
      <c r="E43" s="1" t="s">
        <v>274</v>
      </c>
      <c r="F43" s="1" t="s">
        <v>308</v>
      </c>
    </row>
    <row r="44" spans="1:6" ht="28.8" x14ac:dyDescent="0.3">
      <c r="A44" s="1" t="s">
        <v>292</v>
      </c>
      <c r="B44" s="1" t="s">
        <v>293</v>
      </c>
      <c r="C44" s="1" t="s">
        <v>294</v>
      </c>
      <c r="D44" s="1" t="s">
        <v>273</v>
      </c>
      <c r="E44" s="1" t="s">
        <v>276</v>
      </c>
      <c r="F44" s="1" t="s">
        <v>309</v>
      </c>
    </row>
    <row r="45" spans="1:6" x14ac:dyDescent="0.3">
      <c r="A45" s="1" t="s">
        <v>292</v>
      </c>
      <c r="B45" s="1" t="s">
        <v>293</v>
      </c>
      <c r="C45" s="1" t="s">
        <v>294</v>
      </c>
      <c r="D45" s="1" t="s">
        <v>273</v>
      </c>
      <c r="E45" s="1" t="s">
        <v>278</v>
      </c>
      <c r="F45" s="1" t="s">
        <v>310</v>
      </c>
    </row>
    <row r="46" spans="1:6" x14ac:dyDescent="0.3">
      <c r="A46" s="1" t="s">
        <v>292</v>
      </c>
      <c r="B46" s="1" t="s">
        <v>293</v>
      </c>
      <c r="C46" s="1" t="s">
        <v>294</v>
      </c>
      <c r="D46" s="1" t="s">
        <v>273</v>
      </c>
      <c r="E46" s="1" t="s">
        <v>280</v>
      </c>
      <c r="F46" s="1" t="s">
        <v>311</v>
      </c>
    </row>
    <row r="47" spans="1:6" ht="28.8" x14ac:dyDescent="0.3">
      <c r="A47" s="1" t="s">
        <v>292</v>
      </c>
      <c r="B47" s="1" t="s">
        <v>293</v>
      </c>
      <c r="C47" s="1" t="s">
        <v>294</v>
      </c>
      <c r="D47" s="1" t="s">
        <v>282</v>
      </c>
      <c r="E47" s="1" t="s">
        <v>283</v>
      </c>
      <c r="F47" s="1" t="s">
        <v>312</v>
      </c>
    </row>
    <row r="48" spans="1:6" ht="28.8" x14ac:dyDescent="0.3">
      <c r="A48" s="1" t="s">
        <v>292</v>
      </c>
      <c r="B48" s="1" t="s">
        <v>293</v>
      </c>
      <c r="C48" s="1" t="s">
        <v>294</v>
      </c>
      <c r="D48" s="1" t="s">
        <v>282</v>
      </c>
      <c r="E48" s="1" t="s">
        <v>285</v>
      </c>
      <c r="F48" s="1" t="s">
        <v>313</v>
      </c>
    </row>
    <row r="49" spans="1:6" x14ac:dyDescent="0.3">
      <c r="A49" s="1" t="s">
        <v>292</v>
      </c>
      <c r="B49" s="1" t="s">
        <v>293</v>
      </c>
      <c r="C49" s="1" t="s">
        <v>294</v>
      </c>
      <c r="D49" s="1" t="s">
        <v>287</v>
      </c>
      <c r="E49" s="1" t="s">
        <v>288</v>
      </c>
      <c r="F49" s="1" t="s">
        <v>314</v>
      </c>
    </row>
    <row r="50" spans="1:6" x14ac:dyDescent="0.3">
      <c r="A50" s="1" t="s">
        <v>292</v>
      </c>
      <c r="B50" s="1" t="s">
        <v>293</v>
      </c>
      <c r="C50" s="1" t="s">
        <v>294</v>
      </c>
      <c r="D50" s="1" t="s">
        <v>287</v>
      </c>
      <c r="E50" s="1" t="s">
        <v>290</v>
      </c>
      <c r="F50" s="1" t="s">
        <v>315</v>
      </c>
    </row>
    <row r="51" spans="1:6" ht="28.8" x14ac:dyDescent="0.3">
      <c r="A51" s="1" t="s">
        <v>316</v>
      </c>
      <c r="B51" s="1" t="s">
        <v>317</v>
      </c>
      <c r="C51" s="1" t="s">
        <v>243</v>
      </c>
      <c r="D51" s="1" t="s">
        <v>244</v>
      </c>
      <c r="E51" s="1" t="s">
        <v>245</v>
      </c>
      <c r="F51" s="1" t="s">
        <v>318</v>
      </c>
    </row>
    <row r="52" spans="1:6" ht="28.8" x14ac:dyDescent="0.3">
      <c r="A52" s="1" t="s">
        <v>316</v>
      </c>
      <c r="B52" s="1" t="s">
        <v>317</v>
      </c>
      <c r="C52" s="1" t="s">
        <v>243</v>
      </c>
      <c r="D52" s="1" t="s">
        <v>244</v>
      </c>
      <c r="E52" s="1" t="s">
        <v>247</v>
      </c>
      <c r="F52" s="1" t="s">
        <v>248</v>
      </c>
    </row>
    <row r="53" spans="1:6" ht="28.8" x14ac:dyDescent="0.3">
      <c r="A53" s="1" t="s">
        <v>316</v>
      </c>
      <c r="B53" s="1" t="s">
        <v>317</v>
      </c>
      <c r="C53" s="1" t="s">
        <v>243</v>
      </c>
      <c r="D53" s="1" t="s">
        <v>249</v>
      </c>
      <c r="E53" s="1" t="s">
        <v>250</v>
      </c>
      <c r="F53" s="1" t="s">
        <v>319</v>
      </c>
    </row>
    <row r="54" spans="1:6" ht="28.8" x14ac:dyDescent="0.3">
      <c r="A54" s="1" t="s">
        <v>316</v>
      </c>
      <c r="B54" s="1" t="s">
        <v>317</v>
      </c>
      <c r="C54" s="1" t="s">
        <v>243</v>
      </c>
      <c r="D54" s="1" t="s">
        <v>249</v>
      </c>
      <c r="E54" s="1" t="s">
        <v>252</v>
      </c>
      <c r="F54" s="1" t="s">
        <v>320</v>
      </c>
    </row>
    <row r="55" spans="1:6" ht="43.2" x14ac:dyDescent="0.3">
      <c r="A55" s="1" t="s">
        <v>316</v>
      </c>
      <c r="B55" s="1" t="s">
        <v>317</v>
      </c>
      <c r="C55" s="1" t="s">
        <v>243</v>
      </c>
      <c r="D55" s="1" t="s">
        <v>249</v>
      </c>
      <c r="E55" s="1" t="s">
        <v>254</v>
      </c>
      <c r="F55" s="1" t="s">
        <v>321</v>
      </c>
    </row>
    <row r="56" spans="1:6" ht="28.8" x14ac:dyDescent="0.3">
      <c r="A56" s="1" t="s">
        <v>316</v>
      </c>
      <c r="B56" s="1" t="s">
        <v>317</v>
      </c>
      <c r="C56" s="1" t="s">
        <v>243</v>
      </c>
      <c r="D56" s="1" t="s">
        <v>249</v>
      </c>
      <c r="E56" s="1" t="s">
        <v>256</v>
      </c>
      <c r="F56" s="1" t="s">
        <v>322</v>
      </c>
    </row>
    <row r="57" spans="1:6" ht="28.8" x14ac:dyDescent="0.3">
      <c r="A57" s="1" t="s">
        <v>316</v>
      </c>
      <c r="B57" s="1" t="s">
        <v>317</v>
      </c>
      <c r="C57" s="1" t="s">
        <v>243</v>
      </c>
      <c r="D57" s="1" t="s">
        <v>249</v>
      </c>
      <c r="E57" s="1" t="s">
        <v>258</v>
      </c>
      <c r="F57" s="1" t="s">
        <v>323</v>
      </c>
    </row>
    <row r="58" spans="1:6" ht="28.8" x14ac:dyDescent="0.3">
      <c r="A58" s="1" t="s">
        <v>316</v>
      </c>
      <c r="B58" s="1" t="s">
        <v>317</v>
      </c>
      <c r="C58" s="1" t="s">
        <v>243</v>
      </c>
      <c r="D58" s="1" t="s">
        <v>249</v>
      </c>
      <c r="E58" s="1" t="s">
        <v>260</v>
      </c>
      <c r="F58" s="1" t="s">
        <v>324</v>
      </c>
    </row>
    <row r="59" spans="1:6" ht="28.8" x14ac:dyDescent="0.3">
      <c r="A59" s="1" t="s">
        <v>316</v>
      </c>
      <c r="B59" s="1" t="s">
        <v>317</v>
      </c>
      <c r="C59" s="1" t="s">
        <v>243</v>
      </c>
      <c r="D59" s="1" t="s">
        <v>262</v>
      </c>
      <c r="E59" s="1" t="s">
        <v>263</v>
      </c>
      <c r="F59" s="1" t="s">
        <v>325</v>
      </c>
    </row>
    <row r="60" spans="1:6" ht="28.8" x14ac:dyDescent="0.3">
      <c r="A60" s="1" t="s">
        <v>316</v>
      </c>
      <c r="B60" s="1" t="s">
        <v>317</v>
      </c>
      <c r="C60" s="1" t="s">
        <v>243</v>
      </c>
      <c r="D60" s="1" t="s">
        <v>262</v>
      </c>
      <c r="E60" s="1" t="s">
        <v>265</v>
      </c>
      <c r="F60" s="1" t="s">
        <v>326</v>
      </c>
    </row>
    <row r="61" spans="1:6" ht="28.8" x14ac:dyDescent="0.3">
      <c r="A61" s="1" t="s">
        <v>316</v>
      </c>
      <c r="B61" s="1" t="s">
        <v>317</v>
      </c>
      <c r="C61" s="1" t="s">
        <v>243</v>
      </c>
      <c r="D61" s="1" t="s">
        <v>262</v>
      </c>
      <c r="E61" s="1" t="s">
        <v>267</v>
      </c>
      <c r="F61" s="1" t="s">
        <v>327</v>
      </c>
    </row>
    <row r="62" spans="1:6" ht="28.8" x14ac:dyDescent="0.3">
      <c r="A62" s="1" t="s">
        <v>316</v>
      </c>
      <c r="B62" s="1" t="s">
        <v>317</v>
      </c>
      <c r="C62" s="1" t="s">
        <v>243</v>
      </c>
      <c r="D62" s="1" t="s">
        <v>262</v>
      </c>
      <c r="E62" s="1" t="s">
        <v>269</v>
      </c>
      <c r="F62" s="1" t="s">
        <v>328</v>
      </c>
    </row>
    <row r="63" spans="1:6" ht="28.8" x14ac:dyDescent="0.3">
      <c r="A63" s="1" t="s">
        <v>316</v>
      </c>
      <c r="B63" s="1" t="s">
        <v>317</v>
      </c>
      <c r="C63" s="1" t="s">
        <v>243</v>
      </c>
      <c r="D63" s="1" t="s">
        <v>262</v>
      </c>
      <c r="E63" s="1" t="s">
        <v>271</v>
      </c>
      <c r="F63" s="1" t="s">
        <v>329</v>
      </c>
    </row>
    <row r="64" spans="1:6" ht="28.8" x14ac:dyDescent="0.3">
      <c r="A64" s="1" t="s">
        <v>316</v>
      </c>
      <c r="B64" s="1" t="s">
        <v>317</v>
      </c>
      <c r="C64" s="1" t="s">
        <v>243</v>
      </c>
      <c r="D64" s="1" t="s">
        <v>273</v>
      </c>
      <c r="E64" s="1" t="s">
        <v>274</v>
      </c>
      <c r="F64" s="1" t="s">
        <v>330</v>
      </c>
    </row>
    <row r="65" spans="1:6" ht="28.8" x14ac:dyDescent="0.3">
      <c r="A65" s="1" t="s">
        <v>316</v>
      </c>
      <c r="B65" s="1" t="s">
        <v>317</v>
      </c>
      <c r="C65" s="1" t="s">
        <v>243</v>
      </c>
      <c r="D65" s="1" t="s">
        <v>273</v>
      </c>
      <c r="E65" s="1" t="s">
        <v>276</v>
      </c>
      <c r="F65" s="1" t="s">
        <v>331</v>
      </c>
    </row>
    <row r="66" spans="1:6" ht="28.8" x14ac:dyDescent="0.3">
      <c r="A66" s="1" t="s">
        <v>316</v>
      </c>
      <c r="B66" s="1" t="s">
        <v>317</v>
      </c>
      <c r="C66" s="1" t="s">
        <v>243</v>
      </c>
      <c r="D66" s="1" t="s">
        <v>273</v>
      </c>
      <c r="E66" s="1" t="s">
        <v>278</v>
      </c>
      <c r="F66" s="1" t="s">
        <v>332</v>
      </c>
    </row>
    <row r="67" spans="1:6" ht="28.8" x14ac:dyDescent="0.3">
      <c r="A67" s="1" t="s">
        <v>316</v>
      </c>
      <c r="B67" s="1" t="s">
        <v>317</v>
      </c>
      <c r="C67" s="1" t="s">
        <v>243</v>
      </c>
      <c r="D67" s="1" t="s">
        <v>273</v>
      </c>
      <c r="E67" s="1" t="s">
        <v>280</v>
      </c>
      <c r="F67" s="1" t="s">
        <v>333</v>
      </c>
    </row>
    <row r="68" spans="1:6" ht="28.8" x14ac:dyDescent="0.3">
      <c r="A68" s="1" t="s">
        <v>316</v>
      </c>
      <c r="B68" s="1" t="s">
        <v>317</v>
      </c>
      <c r="C68" s="1" t="s">
        <v>243</v>
      </c>
      <c r="D68" s="1" t="s">
        <v>282</v>
      </c>
      <c r="E68" s="1" t="s">
        <v>283</v>
      </c>
      <c r="F68" s="1" t="s">
        <v>334</v>
      </c>
    </row>
    <row r="69" spans="1:6" ht="28.8" x14ac:dyDescent="0.3">
      <c r="A69" s="1" t="s">
        <v>316</v>
      </c>
      <c r="B69" s="1" t="s">
        <v>317</v>
      </c>
      <c r="C69" s="1" t="s">
        <v>243</v>
      </c>
      <c r="D69" s="1" t="s">
        <v>282</v>
      </c>
      <c r="E69" s="1" t="s">
        <v>285</v>
      </c>
      <c r="F69" s="1" t="s">
        <v>335</v>
      </c>
    </row>
    <row r="70" spans="1:6" ht="28.8" x14ac:dyDescent="0.3">
      <c r="A70" s="1" t="s">
        <v>316</v>
      </c>
      <c r="B70" s="1" t="s">
        <v>317</v>
      </c>
      <c r="C70" s="1" t="s">
        <v>243</v>
      </c>
      <c r="D70" s="1" t="s">
        <v>287</v>
      </c>
      <c r="E70" s="1" t="s">
        <v>288</v>
      </c>
      <c r="F70" s="1" t="s">
        <v>336</v>
      </c>
    </row>
    <row r="71" spans="1:6" ht="28.8" x14ac:dyDescent="0.3">
      <c r="A71" s="1" t="s">
        <v>316</v>
      </c>
      <c r="B71" s="1" t="s">
        <v>317</v>
      </c>
      <c r="C71" s="1" t="s">
        <v>243</v>
      </c>
      <c r="D71" s="1" t="s">
        <v>287</v>
      </c>
      <c r="E71" s="1" t="s">
        <v>290</v>
      </c>
      <c r="F71" s="1" t="s">
        <v>337</v>
      </c>
    </row>
    <row r="72" spans="1:6" ht="28.8" x14ac:dyDescent="0.3">
      <c r="A72" s="1" t="s">
        <v>338</v>
      </c>
      <c r="B72" s="1" t="s">
        <v>339</v>
      </c>
      <c r="C72" s="1" t="s">
        <v>340</v>
      </c>
      <c r="D72" s="1" t="s">
        <v>244</v>
      </c>
      <c r="E72" s="1" t="s">
        <v>245</v>
      </c>
      <c r="F72" s="1" t="s">
        <v>341</v>
      </c>
    </row>
    <row r="73" spans="1:6" ht="28.8" x14ac:dyDescent="0.3">
      <c r="A73" s="1" t="s">
        <v>338</v>
      </c>
      <c r="B73" s="1" t="s">
        <v>339</v>
      </c>
      <c r="C73" s="1" t="s">
        <v>340</v>
      </c>
      <c r="D73" s="1" t="s">
        <v>244</v>
      </c>
      <c r="E73" s="1" t="s">
        <v>247</v>
      </c>
      <c r="F73" s="1" t="s">
        <v>342</v>
      </c>
    </row>
    <row r="74" spans="1:6" ht="28.8" x14ac:dyDescent="0.3">
      <c r="A74" s="1" t="s">
        <v>338</v>
      </c>
      <c r="B74" s="1" t="s">
        <v>339</v>
      </c>
      <c r="C74" s="1" t="s">
        <v>340</v>
      </c>
      <c r="D74" s="1" t="s">
        <v>249</v>
      </c>
      <c r="E74" s="1" t="s">
        <v>250</v>
      </c>
      <c r="F74" s="1" t="s">
        <v>343</v>
      </c>
    </row>
    <row r="75" spans="1:6" ht="28.8" x14ac:dyDescent="0.3">
      <c r="A75" s="1" t="s">
        <v>338</v>
      </c>
      <c r="B75" s="1" t="s">
        <v>339</v>
      </c>
      <c r="C75" s="1" t="s">
        <v>340</v>
      </c>
      <c r="D75" s="1" t="s">
        <v>249</v>
      </c>
      <c r="E75" s="1" t="s">
        <v>252</v>
      </c>
      <c r="F75" s="1" t="s">
        <v>344</v>
      </c>
    </row>
    <row r="76" spans="1:6" ht="43.2" x14ac:dyDescent="0.3">
      <c r="A76" s="1" t="s">
        <v>338</v>
      </c>
      <c r="B76" s="1" t="s">
        <v>339</v>
      </c>
      <c r="C76" s="1" t="s">
        <v>340</v>
      </c>
      <c r="D76" s="1" t="s">
        <v>249</v>
      </c>
      <c r="E76" s="1" t="s">
        <v>254</v>
      </c>
      <c r="F76" s="1" t="s">
        <v>345</v>
      </c>
    </row>
    <row r="77" spans="1:6" ht="28.8" x14ac:dyDescent="0.3">
      <c r="A77" s="1" t="s">
        <v>338</v>
      </c>
      <c r="B77" s="1" t="s">
        <v>339</v>
      </c>
      <c r="C77" s="1" t="s">
        <v>340</v>
      </c>
      <c r="D77" s="1" t="s">
        <v>249</v>
      </c>
      <c r="E77" s="1" t="s">
        <v>256</v>
      </c>
      <c r="F77" s="1" t="s">
        <v>346</v>
      </c>
    </row>
    <row r="78" spans="1:6" ht="28.8" x14ac:dyDescent="0.3">
      <c r="A78" s="1" t="s">
        <v>338</v>
      </c>
      <c r="B78" s="1" t="s">
        <v>339</v>
      </c>
      <c r="C78" s="1" t="s">
        <v>340</v>
      </c>
      <c r="D78" s="1" t="s">
        <v>249</v>
      </c>
      <c r="E78" s="1" t="s">
        <v>258</v>
      </c>
      <c r="F78" s="1" t="s">
        <v>347</v>
      </c>
    </row>
    <row r="79" spans="1:6" ht="28.8" x14ac:dyDescent="0.3">
      <c r="A79" s="1" t="s">
        <v>338</v>
      </c>
      <c r="B79" s="1" t="s">
        <v>339</v>
      </c>
      <c r="C79" s="1" t="s">
        <v>340</v>
      </c>
      <c r="D79" s="1" t="s">
        <v>249</v>
      </c>
      <c r="E79" s="1" t="s">
        <v>260</v>
      </c>
      <c r="F79" s="1" t="s">
        <v>348</v>
      </c>
    </row>
    <row r="80" spans="1:6" ht="28.8" x14ac:dyDescent="0.3">
      <c r="A80" s="1" t="s">
        <v>338</v>
      </c>
      <c r="B80" s="1" t="s">
        <v>339</v>
      </c>
      <c r="C80" s="1" t="s">
        <v>340</v>
      </c>
      <c r="D80" s="1" t="s">
        <v>262</v>
      </c>
      <c r="E80" s="1" t="s">
        <v>263</v>
      </c>
      <c r="F80" s="1" t="s">
        <v>349</v>
      </c>
    </row>
    <row r="81" spans="1:6" ht="28.8" x14ac:dyDescent="0.3">
      <c r="A81" s="1" t="s">
        <v>338</v>
      </c>
      <c r="B81" s="1" t="s">
        <v>339</v>
      </c>
      <c r="C81" s="1" t="s">
        <v>340</v>
      </c>
      <c r="D81" s="1" t="s">
        <v>262</v>
      </c>
      <c r="E81" s="1" t="s">
        <v>265</v>
      </c>
      <c r="F81" s="1" t="s">
        <v>350</v>
      </c>
    </row>
    <row r="82" spans="1:6" ht="28.8" x14ac:dyDescent="0.3">
      <c r="A82" s="1" t="s">
        <v>338</v>
      </c>
      <c r="B82" s="1" t="s">
        <v>339</v>
      </c>
      <c r="C82" s="1" t="s">
        <v>340</v>
      </c>
      <c r="D82" s="1" t="s">
        <v>262</v>
      </c>
      <c r="E82" s="1" t="s">
        <v>267</v>
      </c>
      <c r="F82" s="1" t="s">
        <v>351</v>
      </c>
    </row>
    <row r="83" spans="1:6" ht="28.8" x14ac:dyDescent="0.3">
      <c r="A83" s="1" t="s">
        <v>338</v>
      </c>
      <c r="B83" s="1" t="s">
        <v>339</v>
      </c>
      <c r="C83" s="1" t="s">
        <v>340</v>
      </c>
      <c r="D83" s="1" t="s">
        <v>262</v>
      </c>
      <c r="E83" s="1" t="s">
        <v>269</v>
      </c>
      <c r="F83" s="1" t="s">
        <v>352</v>
      </c>
    </row>
    <row r="84" spans="1:6" ht="28.8" x14ac:dyDescent="0.3">
      <c r="A84" s="1" t="s">
        <v>338</v>
      </c>
      <c r="B84" s="1" t="s">
        <v>339</v>
      </c>
      <c r="C84" s="1" t="s">
        <v>340</v>
      </c>
      <c r="D84" s="1" t="s">
        <v>262</v>
      </c>
      <c r="E84" s="1" t="s">
        <v>271</v>
      </c>
      <c r="F84" s="1" t="s">
        <v>353</v>
      </c>
    </row>
    <row r="85" spans="1:6" ht="28.8" x14ac:dyDescent="0.3">
      <c r="A85" s="1" t="s">
        <v>338</v>
      </c>
      <c r="B85" s="1" t="s">
        <v>339</v>
      </c>
      <c r="C85" s="1" t="s">
        <v>340</v>
      </c>
      <c r="D85" s="1" t="s">
        <v>273</v>
      </c>
      <c r="E85" s="1" t="s">
        <v>274</v>
      </c>
      <c r="F85" s="1" t="s">
        <v>354</v>
      </c>
    </row>
    <row r="86" spans="1:6" ht="28.8" x14ac:dyDescent="0.3">
      <c r="A86" s="1" t="s">
        <v>338</v>
      </c>
      <c r="B86" s="1" t="s">
        <v>339</v>
      </c>
      <c r="C86" s="1" t="s">
        <v>340</v>
      </c>
      <c r="D86" s="1" t="s">
        <v>273</v>
      </c>
      <c r="E86" s="1" t="s">
        <v>276</v>
      </c>
      <c r="F86" s="1" t="s">
        <v>355</v>
      </c>
    </row>
    <row r="87" spans="1:6" ht="28.8" x14ac:dyDescent="0.3">
      <c r="A87" s="1" t="s">
        <v>338</v>
      </c>
      <c r="B87" s="1" t="s">
        <v>339</v>
      </c>
      <c r="C87" s="1" t="s">
        <v>340</v>
      </c>
      <c r="D87" s="1" t="s">
        <v>273</v>
      </c>
      <c r="E87" s="1" t="s">
        <v>278</v>
      </c>
      <c r="F87" s="1" t="s">
        <v>356</v>
      </c>
    </row>
    <row r="88" spans="1:6" ht="28.8" x14ac:dyDescent="0.3">
      <c r="A88" s="1" t="s">
        <v>338</v>
      </c>
      <c r="B88" s="1" t="s">
        <v>339</v>
      </c>
      <c r="C88" s="1" t="s">
        <v>340</v>
      </c>
      <c r="D88" s="1" t="s">
        <v>273</v>
      </c>
      <c r="E88" s="1" t="s">
        <v>280</v>
      </c>
      <c r="F88" s="1" t="s">
        <v>357</v>
      </c>
    </row>
    <row r="89" spans="1:6" ht="28.8" x14ac:dyDescent="0.3">
      <c r="A89" s="1" t="s">
        <v>338</v>
      </c>
      <c r="B89" s="1" t="s">
        <v>339</v>
      </c>
      <c r="C89" s="1" t="s">
        <v>340</v>
      </c>
      <c r="D89" s="1" t="s">
        <v>282</v>
      </c>
      <c r="E89" s="1" t="s">
        <v>283</v>
      </c>
      <c r="F89" s="1" t="s">
        <v>358</v>
      </c>
    </row>
    <row r="90" spans="1:6" ht="28.8" x14ac:dyDescent="0.3">
      <c r="A90" s="1" t="s">
        <v>338</v>
      </c>
      <c r="B90" s="1" t="s">
        <v>339</v>
      </c>
      <c r="C90" s="1" t="s">
        <v>340</v>
      </c>
      <c r="D90" s="1" t="s">
        <v>282</v>
      </c>
      <c r="E90" s="1" t="s">
        <v>285</v>
      </c>
      <c r="F90" s="1" t="s">
        <v>359</v>
      </c>
    </row>
    <row r="91" spans="1:6" ht="28.8" x14ac:dyDescent="0.3">
      <c r="A91" s="1" t="s">
        <v>338</v>
      </c>
      <c r="B91" s="1" t="s">
        <v>339</v>
      </c>
      <c r="C91" s="1" t="s">
        <v>340</v>
      </c>
      <c r="D91" s="1" t="s">
        <v>287</v>
      </c>
      <c r="E91" s="1" t="s">
        <v>288</v>
      </c>
      <c r="F91" s="1" t="s">
        <v>360</v>
      </c>
    </row>
    <row r="92" spans="1:6" ht="28.8" x14ac:dyDescent="0.3">
      <c r="A92" s="1" t="s">
        <v>338</v>
      </c>
      <c r="B92" s="1" t="s">
        <v>339</v>
      </c>
      <c r="C92" s="1" t="s">
        <v>340</v>
      </c>
      <c r="D92" s="1" t="s">
        <v>287</v>
      </c>
      <c r="E92" s="1" t="s">
        <v>290</v>
      </c>
      <c r="F92" s="1" t="s">
        <v>361</v>
      </c>
    </row>
    <row r="93" spans="1:6" ht="28.8" x14ac:dyDescent="0.3">
      <c r="A93" s="1" t="s">
        <v>362</v>
      </c>
      <c r="B93" s="1" t="s">
        <v>363</v>
      </c>
      <c r="C93" s="1" t="s">
        <v>243</v>
      </c>
      <c r="D93" s="1" t="s">
        <v>244</v>
      </c>
      <c r="E93" s="1" t="s">
        <v>245</v>
      </c>
      <c r="F93" s="1" t="s">
        <v>364</v>
      </c>
    </row>
    <row r="94" spans="1:6" ht="28.8" x14ac:dyDescent="0.3">
      <c r="A94" s="1" t="s">
        <v>362</v>
      </c>
      <c r="B94" s="1" t="s">
        <v>363</v>
      </c>
      <c r="C94" s="1" t="s">
        <v>243</v>
      </c>
      <c r="D94" s="1" t="s">
        <v>244</v>
      </c>
      <c r="E94" s="1" t="s">
        <v>247</v>
      </c>
      <c r="F94" s="1" t="s">
        <v>365</v>
      </c>
    </row>
    <row r="95" spans="1:6" ht="28.8" x14ac:dyDescent="0.3">
      <c r="A95" s="1" t="s">
        <v>362</v>
      </c>
      <c r="B95" s="1" t="s">
        <v>363</v>
      </c>
      <c r="C95" s="1" t="s">
        <v>243</v>
      </c>
      <c r="D95" s="1" t="s">
        <v>249</v>
      </c>
      <c r="E95" s="1" t="s">
        <v>250</v>
      </c>
      <c r="F95" s="1" t="s">
        <v>366</v>
      </c>
    </row>
    <row r="96" spans="1:6" ht="28.8" x14ac:dyDescent="0.3">
      <c r="A96" s="1" t="s">
        <v>362</v>
      </c>
      <c r="B96" s="1" t="s">
        <v>363</v>
      </c>
      <c r="C96" s="1" t="s">
        <v>243</v>
      </c>
      <c r="D96" s="1" t="s">
        <v>249</v>
      </c>
      <c r="E96" s="1" t="s">
        <v>252</v>
      </c>
      <c r="F96" s="1" t="s">
        <v>367</v>
      </c>
    </row>
    <row r="97" spans="1:6" ht="28.8" x14ac:dyDescent="0.3">
      <c r="A97" s="1" t="s">
        <v>362</v>
      </c>
      <c r="B97" s="1" t="s">
        <v>363</v>
      </c>
      <c r="C97" s="1" t="s">
        <v>243</v>
      </c>
      <c r="D97" s="1" t="s">
        <v>249</v>
      </c>
      <c r="E97" s="1" t="s">
        <v>254</v>
      </c>
      <c r="F97" s="1" t="s">
        <v>368</v>
      </c>
    </row>
    <row r="98" spans="1:6" ht="28.8" x14ac:dyDescent="0.3">
      <c r="A98" s="1" t="s">
        <v>362</v>
      </c>
      <c r="B98" s="1" t="s">
        <v>363</v>
      </c>
      <c r="C98" s="1" t="s">
        <v>243</v>
      </c>
      <c r="D98" s="1" t="s">
        <v>249</v>
      </c>
      <c r="E98" s="1" t="s">
        <v>256</v>
      </c>
      <c r="F98" s="1" t="s">
        <v>369</v>
      </c>
    </row>
    <row r="99" spans="1:6" ht="28.8" x14ac:dyDescent="0.3">
      <c r="A99" s="1" t="s">
        <v>362</v>
      </c>
      <c r="B99" s="1" t="s">
        <v>363</v>
      </c>
      <c r="C99" s="1" t="s">
        <v>243</v>
      </c>
      <c r="D99" s="1" t="s">
        <v>249</v>
      </c>
      <c r="E99" s="1" t="s">
        <v>258</v>
      </c>
      <c r="F99" s="1" t="s">
        <v>370</v>
      </c>
    </row>
    <row r="100" spans="1:6" ht="28.8" x14ac:dyDescent="0.3">
      <c r="A100" s="1" t="s">
        <v>362</v>
      </c>
      <c r="B100" s="1" t="s">
        <v>363</v>
      </c>
      <c r="C100" s="1" t="s">
        <v>243</v>
      </c>
      <c r="D100" s="1" t="s">
        <v>249</v>
      </c>
      <c r="E100" s="1" t="s">
        <v>260</v>
      </c>
      <c r="F100" s="1" t="s">
        <v>371</v>
      </c>
    </row>
    <row r="101" spans="1:6" ht="28.8" x14ac:dyDescent="0.3">
      <c r="A101" s="1" t="s">
        <v>362</v>
      </c>
      <c r="B101" s="1" t="s">
        <v>363</v>
      </c>
      <c r="C101" s="1" t="s">
        <v>243</v>
      </c>
      <c r="D101" s="1" t="s">
        <v>262</v>
      </c>
      <c r="E101" s="1" t="s">
        <v>263</v>
      </c>
      <c r="F101" s="1" t="s">
        <v>372</v>
      </c>
    </row>
    <row r="102" spans="1:6" ht="28.8" x14ac:dyDescent="0.3">
      <c r="A102" s="1" t="s">
        <v>362</v>
      </c>
      <c r="B102" s="1" t="s">
        <v>363</v>
      </c>
      <c r="C102" s="1" t="s">
        <v>243</v>
      </c>
      <c r="D102" s="1" t="s">
        <v>262</v>
      </c>
      <c r="E102" s="1" t="s">
        <v>265</v>
      </c>
      <c r="F102" s="1" t="s">
        <v>373</v>
      </c>
    </row>
    <row r="103" spans="1:6" ht="28.8" x14ac:dyDescent="0.3">
      <c r="A103" s="1" t="s">
        <v>362</v>
      </c>
      <c r="B103" s="1" t="s">
        <v>363</v>
      </c>
      <c r="C103" s="1" t="s">
        <v>243</v>
      </c>
      <c r="D103" s="1" t="s">
        <v>262</v>
      </c>
      <c r="E103" s="1" t="s">
        <v>267</v>
      </c>
      <c r="F103" s="1" t="s">
        <v>374</v>
      </c>
    </row>
    <row r="104" spans="1:6" ht="28.8" x14ac:dyDescent="0.3">
      <c r="A104" s="1" t="s">
        <v>362</v>
      </c>
      <c r="B104" s="1" t="s">
        <v>363</v>
      </c>
      <c r="C104" s="1" t="s">
        <v>243</v>
      </c>
      <c r="D104" s="1" t="s">
        <v>262</v>
      </c>
      <c r="E104" s="1" t="s">
        <v>269</v>
      </c>
      <c r="F104" s="1" t="s">
        <v>375</v>
      </c>
    </row>
    <row r="105" spans="1:6" ht="28.8" x14ac:dyDescent="0.3">
      <c r="A105" s="1" t="s">
        <v>362</v>
      </c>
      <c r="B105" s="1" t="s">
        <v>363</v>
      </c>
      <c r="C105" s="1" t="s">
        <v>243</v>
      </c>
      <c r="D105" s="1" t="s">
        <v>262</v>
      </c>
      <c r="E105" s="1" t="s">
        <v>271</v>
      </c>
      <c r="F105" s="1" t="s">
        <v>376</v>
      </c>
    </row>
    <row r="106" spans="1:6" ht="28.8" x14ac:dyDescent="0.3">
      <c r="A106" s="1" t="s">
        <v>362</v>
      </c>
      <c r="B106" s="1" t="s">
        <v>363</v>
      </c>
      <c r="C106" s="1" t="s">
        <v>243</v>
      </c>
      <c r="D106" s="1" t="s">
        <v>273</v>
      </c>
      <c r="E106" s="1" t="s">
        <v>274</v>
      </c>
      <c r="F106" s="1" t="s">
        <v>377</v>
      </c>
    </row>
    <row r="107" spans="1:6" ht="28.8" x14ac:dyDescent="0.3">
      <c r="A107" s="1" t="s">
        <v>362</v>
      </c>
      <c r="B107" s="1" t="s">
        <v>363</v>
      </c>
      <c r="C107" s="1" t="s">
        <v>243</v>
      </c>
      <c r="D107" s="1" t="s">
        <v>273</v>
      </c>
      <c r="E107" s="1" t="s">
        <v>276</v>
      </c>
      <c r="F107" s="1" t="s">
        <v>378</v>
      </c>
    </row>
    <row r="108" spans="1:6" ht="28.8" x14ac:dyDescent="0.3">
      <c r="A108" s="1" t="s">
        <v>362</v>
      </c>
      <c r="B108" s="1" t="s">
        <v>363</v>
      </c>
      <c r="C108" s="1" t="s">
        <v>243</v>
      </c>
      <c r="D108" s="1" t="s">
        <v>273</v>
      </c>
      <c r="E108" s="1" t="s">
        <v>278</v>
      </c>
      <c r="F108" s="1" t="s">
        <v>379</v>
      </c>
    </row>
    <row r="109" spans="1:6" ht="28.8" x14ac:dyDescent="0.3">
      <c r="A109" s="1" t="s">
        <v>362</v>
      </c>
      <c r="B109" s="1" t="s">
        <v>363</v>
      </c>
      <c r="C109" s="1" t="s">
        <v>243</v>
      </c>
      <c r="D109" s="1" t="s">
        <v>273</v>
      </c>
      <c r="E109" s="1" t="s">
        <v>280</v>
      </c>
      <c r="F109" s="1" t="s">
        <v>380</v>
      </c>
    </row>
    <row r="110" spans="1:6" ht="28.8" x14ac:dyDescent="0.3">
      <c r="A110" s="1" t="s">
        <v>362</v>
      </c>
      <c r="B110" s="1" t="s">
        <v>363</v>
      </c>
      <c r="C110" s="1" t="s">
        <v>243</v>
      </c>
      <c r="D110" s="1" t="s">
        <v>282</v>
      </c>
      <c r="E110" s="1" t="s">
        <v>283</v>
      </c>
      <c r="F110" s="1" t="s">
        <v>381</v>
      </c>
    </row>
    <row r="111" spans="1:6" ht="28.8" x14ac:dyDescent="0.3">
      <c r="A111" s="1" t="s">
        <v>362</v>
      </c>
      <c r="B111" s="1" t="s">
        <v>363</v>
      </c>
      <c r="C111" s="1" t="s">
        <v>243</v>
      </c>
      <c r="D111" s="1" t="s">
        <v>282</v>
      </c>
      <c r="E111" s="1" t="s">
        <v>285</v>
      </c>
      <c r="F111" s="1" t="s">
        <v>382</v>
      </c>
    </row>
    <row r="112" spans="1:6" ht="28.8" x14ac:dyDescent="0.3">
      <c r="A112" s="1" t="s">
        <v>362</v>
      </c>
      <c r="B112" s="1" t="s">
        <v>363</v>
      </c>
      <c r="C112" s="1" t="s">
        <v>243</v>
      </c>
      <c r="D112" s="1" t="s">
        <v>287</v>
      </c>
      <c r="E112" s="1" t="s">
        <v>288</v>
      </c>
      <c r="F112" s="1" t="s">
        <v>383</v>
      </c>
    </row>
    <row r="113" spans="1:6" ht="28.8" x14ac:dyDescent="0.3">
      <c r="A113" s="1" t="s">
        <v>362</v>
      </c>
      <c r="B113" s="1" t="s">
        <v>363</v>
      </c>
      <c r="C113" s="1" t="s">
        <v>243</v>
      </c>
      <c r="D113" s="1" t="s">
        <v>287</v>
      </c>
      <c r="E113" s="1" t="s">
        <v>290</v>
      </c>
      <c r="F113" s="1" t="s">
        <v>384</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975F-B4CF-4E2E-BECF-C1C35E80C249}">
  <dimension ref="A1:F10"/>
  <sheetViews>
    <sheetView workbookViewId="0"/>
  </sheetViews>
  <sheetFormatPr defaultRowHeight="14.4" x14ac:dyDescent="0.3"/>
  <cols>
    <col min="1" max="1" width="40.77734375" customWidth="1"/>
    <col min="2" max="2" width="110.77734375" customWidth="1"/>
  </cols>
  <sheetData>
    <row r="1" spans="1:6" ht="23.4" x14ac:dyDescent="0.45">
      <c r="A1" s="36" t="s">
        <v>220</v>
      </c>
      <c r="B1" s="34"/>
      <c r="C1" s="34"/>
      <c r="D1" s="34"/>
      <c r="E1" s="34"/>
      <c r="F1" s="34"/>
    </row>
    <row r="3" spans="1:6" ht="48" customHeight="1" x14ac:dyDescent="0.3">
      <c r="A3" s="35" t="s">
        <v>221</v>
      </c>
      <c r="B3" s="35"/>
      <c r="C3" s="35"/>
      <c r="D3" s="35"/>
      <c r="E3" s="35"/>
      <c r="F3" s="35"/>
    </row>
    <row r="5" spans="1:6" ht="158.4" x14ac:dyDescent="0.3">
      <c r="A5" s="31" t="s">
        <v>222</v>
      </c>
      <c r="B5" s="1" t="s">
        <v>223</v>
      </c>
    </row>
    <row r="6" spans="1:6" ht="129.6" x14ac:dyDescent="0.3">
      <c r="A6" s="31" t="s">
        <v>224</v>
      </c>
      <c r="B6" s="1" t="s">
        <v>225</v>
      </c>
    </row>
    <row r="7" spans="1:6" ht="86.4" x14ac:dyDescent="0.3">
      <c r="A7" s="31" t="s">
        <v>226</v>
      </c>
      <c r="B7" s="1">
        <v>0</v>
      </c>
    </row>
    <row r="8" spans="1:6" ht="115.2" x14ac:dyDescent="0.3">
      <c r="A8" s="31" t="s">
        <v>227</v>
      </c>
      <c r="B8" s="1" t="s">
        <v>228</v>
      </c>
    </row>
    <row r="9" spans="1:6" x14ac:dyDescent="0.3">
      <c r="A9" s="31" t="s">
        <v>229</v>
      </c>
      <c r="B9" s="1" t="s">
        <v>230</v>
      </c>
    </row>
    <row r="10" spans="1:6" x14ac:dyDescent="0.3">
      <c r="A10" s="31" t="s">
        <v>231</v>
      </c>
      <c r="B10" s="1" t="s">
        <v>232</v>
      </c>
    </row>
  </sheetData>
  <mergeCells count="2">
    <mergeCell ref="A1:F1"/>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DE5F-54BE-4CCB-AAC0-19C37ADCF850}">
  <dimension ref="A1:L14"/>
  <sheetViews>
    <sheetView workbookViewId="0">
      <selection sqref="A1:L1"/>
    </sheetView>
  </sheetViews>
  <sheetFormatPr defaultRowHeight="14.4" x14ac:dyDescent="0.3"/>
  <cols>
    <col min="1" max="1" width="34.77734375" customWidth="1"/>
    <col min="2" max="2" width="32.77734375" customWidth="1"/>
    <col min="3" max="3" width="25.77734375" customWidth="1"/>
    <col min="4" max="4" width="14.77734375" customWidth="1"/>
    <col min="5" max="5" width="25.77734375" customWidth="1"/>
    <col min="6" max="6" width="16.77734375" customWidth="1"/>
    <col min="7" max="7" width="55.77734375" customWidth="1"/>
    <col min="8" max="8" width="48.77734375" customWidth="1"/>
    <col min="9" max="9" width="32.77734375" customWidth="1"/>
    <col min="10" max="10" width="42.77734375" customWidth="1"/>
    <col min="11" max="11" width="44.77734375" customWidth="1"/>
    <col min="12" max="12" width="48.77734375" customWidth="1"/>
  </cols>
  <sheetData>
    <row r="1" spans="1:12" ht="23.4" x14ac:dyDescent="0.45">
      <c r="A1" s="37" t="s">
        <v>189</v>
      </c>
      <c r="B1" s="38"/>
      <c r="C1" s="38"/>
      <c r="D1" s="38"/>
      <c r="E1" s="38"/>
      <c r="F1" s="38"/>
      <c r="G1" s="38"/>
      <c r="H1" s="38"/>
      <c r="I1" s="38"/>
      <c r="J1" s="38"/>
      <c r="K1" s="38"/>
      <c r="L1" s="38"/>
    </row>
    <row r="2" spans="1:12" ht="34.049999999999997" customHeight="1" x14ac:dyDescent="0.3">
      <c r="A2" s="35" t="s">
        <v>190</v>
      </c>
      <c r="B2" s="35"/>
      <c r="C2" s="35"/>
      <c r="D2" s="35"/>
      <c r="E2" s="35"/>
      <c r="F2" s="35"/>
      <c r="G2" s="35"/>
      <c r="H2" s="35"/>
      <c r="I2" s="35"/>
      <c r="J2" s="35"/>
      <c r="K2" s="35"/>
      <c r="L2" s="35"/>
    </row>
    <row r="3" spans="1:12" x14ac:dyDescent="0.3">
      <c r="A3" t="s">
        <v>160</v>
      </c>
      <c r="B3">
        <f>'Interview Log'!B3</f>
        <v>0</v>
      </c>
      <c r="C3" t="s">
        <v>161</v>
      </c>
      <c r="D3">
        <f>'Interview Log'!D3</f>
        <v>5</v>
      </c>
      <c r="E3" t="s">
        <v>162</v>
      </c>
      <c r="F3" s="2">
        <f>IFERROR(MIN(B3/D3,1),0)</f>
        <v>0</v>
      </c>
      <c r="G3" t="s">
        <v>191</v>
      </c>
      <c r="H3">
        <f>COUNTIF(F7:F14,"&gt;=3")</f>
        <v>0</v>
      </c>
      <c r="I3" s="39" t="s">
        <v>192</v>
      </c>
      <c r="J3" s="39"/>
      <c r="K3" s="39"/>
      <c r="L3" s="39"/>
    </row>
    <row r="5" spans="1:12" ht="37.950000000000003" customHeight="1" x14ac:dyDescent="0.3">
      <c r="A5" s="35" t="s">
        <v>193</v>
      </c>
      <c r="B5" s="35"/>
      <c r="C5" s="35"/>
      <c r="D5" s="35"/>
      <c r="E5" s="35"/>
      <c r="F5" s="35"/>
      <c r="G5" s="35"/>
      <c r="H5" s="35"/>
      <c r="I5" s="35"/>
      <c r="J5" s="35"/>
      <c r="K5" s="35"/>
      <c r="L5" s="35"/>
    </row>
    <row r="6" spans="1:12" ht="46.05" customHeight="1" x14ac:dyDescent="0.3">
      <c r="A6" s="1" t="s">
        <v>194</v>
      </c>
      <c r="B6" s="1" t="s">
        <v>195</v>
      </c>
      <c r="C6" s="1" t="s">
        <v>196</v>
      </c>
      <c r="D6" s="1" t="s">
        <v>197</v>
      </c>
      <c r="E6" s="1" t="s">
        <v>198</v>
      </c>
      <c r="F6" s="1" t="s">
        <v>199</v>
      </c>
      <c r="G6" s="1" t="s">
        <v>200</v>
      </c>
      <c r="H6" s="1" t="s">
        <v>201</v>
      </c>
      <c r="I6" s="1" t="s">
        <v>173</v>
      </c>
      <c r="J6" s="1" t="s">
        <v>202</v>
      </c>
      <c r="K6" s="1" t="s">
        <v>203</v>
      </c>
      <c r="L6" s="1" t="s">
        <v>204</v>
      </c>
    </row>
    <row r="7" spans="1:12" ht="58.05" customHeight="1" x14ac:dyDescent="0.3">
      <c r="A7" s="1" t="s">
        <v>205</v>
      </c>
      <c r="B7" s="1" t="str">
        <f t="shared" ref="B7:B14" si="0">IF(D7=0,"Unvalidated",IF(D7&lt;3,"Emerging - needs more evidence","Review pattern; not proof"))</f>
        <v>Unvalidated</v>
      </c>
      <c r="C7" s="30"/>
      <c r="D7" s="1">
        <f t="shared" ref="D7:D14" si="1">IF(C7="",0,LEN(C7)-LEN(SUBSTITUTE(C7,",",""))+1)</f>
        <v>0</v>
      </c>
      <c r="E7" s="30"/>
      <c r="F7" s="1">
        <f t="shared" ref="F7:F14" si="2">IF(E7="",0,LEN(E7)-LEN(SUBSTITUTE(E7,",",""))+1)</f>
        <v>0</v>
      </c>
      <c r="G7" s="1"/>
      <c r="H7" s="1"/>
      <c r="I7" s="1"/>
      <c r="J7" s="1"/>
      <c r="K7" s="1"/>
      <c r="L7" s="1"/>
    </row>
    <row r="8" spans="1:12" ht="58.05" customHeight="1" x14ac:dyDescent="0.3">
      <c r="A8" s="1" t="s">
        <v>206</v>
      </c>
      <c r="B8" s="1" t="str">
        <f t="shared" si="0"/>
        <v>Unvalidated</v>
      </c>
      <c r="C8" s="30"/>
      <c r="D8" s="1">
        <f t="shared" si="1"/>
        <v>0</v>
      </c>
      <c r="E8" s="30"/>
      <c r="F8" s="1">
        <f t="shared" si="2"/>
        <v>0</v>
      </c>
      <c r="G8" s="1"/>
      <c r="H8" s="1"/>
      <c r="I8" s="1"/>
      <c r="J8" s="1"/>
      <c r="K8" s="1"/>
      <c r="L8" s="1"/>
    </row>
    <row r="9" spans="1:12" ht="58.05" customHeight="1" x14ac:dyDescent="0.3">
      <c r="A9" s="1" t="s">
        <v>207</v>
      </c>
      <c r="B9" s="1" t="str">
        <f t="shared" si="0"/>
        <v>Unvalidated</v>
      </c>
      <c r="C9" s="30"/>
      <c r="D9" s="1">
        <f t="shared" si="1"/>
        <v>0</v>
      </c>
      <c r="E9" s="30"/>
      <c r="F9" s="1">
        <f t="shared" si="2"/>
        <v>0</v>
      </c>
      <c r="G9" s="1"/>
      <c r="H9" s="1"/>
      <c r="I9" s="1"/>
      <c r="J9" s="1"/>
      <c r="K9" s="1"/>
      <c r="L9" s="1"/>
    </row>
    <row r="10" spans="1:12" ht="58.05" customHeight="1" x14ac:dyDescent="0.3">
      <c r="A10" s="1" t="s">
        <v>208</v>
      </c>
      <c r="B10" s="1" t="str">
        <f t="shared" si="0"/>
        <v>Unvalidated</v>
      </c>
      <c r="C10" s="30"/>
      <c r="D10" s="1">
        <f t="shared" si="1"/>
        <v>0</v>
      </c>
      <c r="E10" s="30"/>
      <c r="F10" s="1">
        <f t="shared" si="2"/>
        <v>0</v>
      </c>
      <c r="G10" s="1"/>
      <c r="H10" s="1"/>
      <c r="I10" s="1"/>
      <c r="J10" s="1"/>
      <c r="K10" s="1"/>
      <c r="L10" s="1"/>
    </row>
    <row r="11" spans="1:12" ht="58.05" customHeight="1" x14ac:dyDescent="0.3">
      <c r="A11" s="1" t="s">
        <v>209</v>
      </c>
      <c r="B11" s="1" t="str">
        <f t="shared" si="0"/>
        <v>Unvalidated</v>
      </c>
      <c r="C11" s="30"/>
      <c r="D11" s="1">
        <f t="shared" si="1"/>
        <v>0</v>
      </c>
      <c r="E11" s="30"/>
      <c r="F11" s="1">
        <f t="shared" si="2"/>
        <v>0</v>
      </c>
      <c r="G11" s="1"/>
      <c r="H11" s="1"/>
      <c r="I11" s="1"/>
      <c r="J11" s="1"/>
      <c r="K11" s="1"/>
      <c r="L11" s="1"/>
    </row>
    <row r="12" spans="1:12" ht="58.05" customHeight="1" x14ac:dyDescent="0.3">
      <c r="A12" s="1" t="s">
        <v>210</v>
      </c>
      <c r="B12" s="1" t="str">
        <f t="shared" si="0"/>
        <v>Unvalidated</v>
      </c>
      <c r="C12" s="30"/>
      <c r="D12" s="1">
        <f t="shared" si="1"/>
        <v>0</v>
      </c>
      <c r="E12" s="30"/>
      <c r="F12" s="1">
        <f t="shared" si="2"/>
        <v>0</v>
      </c>
      <c r="G12" s="1"/>
      <c r="H12" s="1"/>
      <c r="I12" s="1"/>
      <c r="J12" s="1"/>
      <c r="K12" s="1"/>
      <c r="L12" s="1"/>
    </row>
    <row r="13" spans="1:12" ht="58.05" customHeight="1" x14ac:dyDescent="0.3">
      <c r="A13" s="1" t="s">
        <v>211</v>
      </c>
      <c r="B13" s="1" t="str">
        <f t="shared" si="0"/>
        <v>Unvalidated</v>
      </c>
      <c r="C13" s="30"/>
      <c r="D13" s="1">
        <f t="shared" si="1"/>
        <v>0</v>
      </c>
      <c r="E13" s="30"/>
      <c r="F13" s="1">
        <f t="shared" si="2"/>
        <v>0</v>
      </c>
      <c r="G13" s="1"/>
      <c r="H13" s="1"/>
      <c r="I13" s="1"/>
      <c r="J13" s="1"/>
      <c r="K13" s="1"/>
      <c r="L13" s="1"/>
    </row>
    <row r="14" spans="1:12" ht="58.05" customHeight="1" x14ac:dyDescent="0.3">
      <c r="A14" s="1" t="s">
        <v>212</v>
      </c>
      <c r="B14" s="1" t="str">
        <f t="shared" si="0"/>
        <v>Unvalidated</v>
      </c>
      <c r="C14" s="30"/>
      <c r="D14" s="1">
        <f t="shared" si="1"/>
        <v>0</v>
      </c>
      <c r="E14" s="30"/>
      <c r="F14" s="1">
        <f t="shared" si="2"/>
        <v>0</v>
      </c>
      <c r="G14" s="1"/>
      <c r="H14" s="1"/>
      <c r="I14" s="1"/>
      <c r="J14" s="1"/>
      <c r="K14" s="1"/>
      <c r="L14" s="1"/>
    </row>
  </sheetData>
  <mergeCells count="4">
    <mergeCell ref="A1:L1"/>
    <mergeCell ref="A2:L2"/>
    <mergeCell ref="I3:L3"/>
    <mergeCell ref="A5:L5"/>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5360-A278-4D44-8356-8041F79F7AAD}">
  <dimension ref="A1:O14"/>
  <sheetViews>
    <sheetView workbookViewId="0">
      <pane ySplit="6" topLeftCell="A7" activePane="bottomLeft" state="frozenSplit"/>
      <selection pane="bottomLeft" sqref="A1:O1"/>
    </sheetView>
  </sheetViews>
  <sheetFormatPr defaultRowHeight="14.4" x14ac:dyDescent="0.3"/>
  <cols>
    <col min="1" max="1" width="16.77734375" customWidth="1"/>
    <col min="2" max="2" width="28.77734375" customWidth="1"/>
    <col min="3" max="3" width="16.77734375" customWidth="1"/>
    <col min="4" max="4" width="18.77734375" customWidth="1"/>
    <col min="5" max="5" width="15.77734375" style="28" customWidth="1"/>
    <col min="6" max="6" width="32.77734375" customWidth="1"/>
    <col min="7" max="7" width="50.77734375" customWidth="1"/>
    <col min="8" max="8" width="32.77734375" customWidth="1"/>
    <col min="9" max="9" width="55.77734375" customWidth="1"/>
    <col min="10" max="10" width="32.77734375" customWidth="1"/>
    <col min="11" max="11" width="40.77734375" customWidth="1"/>
    <col min="12" max="12" width="35.77734375" customWidth="1"/>
    <col min="13" max="13" width="45.77734375" customWidth="1"/>
    <col min="14" max="14" width="36.77734375" customWidth="1"/>
    <col min="15" max="15" width="32.77734375" customWidth="1"/>
  </cols>
  <sheetData>
    <row r="1" spans="1:15" ht="23.4" x14ac:dyDescent="0.45">
      <c r="A1" s="37" t="s">
        <v>157</v>
      </c>
      <c r="B1" s="38"/>
      <c r="C1" s="38"/>
      <c r="D1" s="38"/>
      <c r="E1" s="38"/>
      <c r="F1" s="38"/>
      <c r="G1" s="38"/>
      <c r="H1" s="38"/>
      <c r="I1" s="38"/>
      <c r="J1" s="38"/>
      <c r="K1" s="38"/>
      <c r="L1" s="38"/>
      <c r="M1" s="38"/>
      <c r="N1" s="38"/>
      <c r="O1" s="39"/>
    </row>
    <row r="2" spans="1:15" x14ac:dyDescent="0.3">
      <c r="A2" t="s">
        <v>158</v>
      </c>
      <c r="B2" t="s">
        <v>159</v>
      </c>
    </row>
    <row r="3" spans="1:15" x14ac:dyDescent="0.3">
      <c r="A3" t="s">
        <v>160</v>
      </c>
      <c r="B3">
        <f>COUNTIF(D7:D14,"Completed")</f>
        <v>0</v>
      </c>
      <c r="C3" t="s">
        <v>161</v>
      </c>
      <c r="D3">
        <v>5</v>
      </c>
      <c r="E3" s="28" t="s">
        <v>162</v>
      </c>
      <c r="F3" s="2">
        <f>MIN(B3/D3,1)</f>
        <v>0</v>
      </c>
      <c r="G3" t="s">
        <v>163</v>
      </c>
      <c r="H3">
        <f>COUNTA(A7:A14)</f>
        <v>8</v>
      </c>
    </row>
    <row r="4" spans="1:15" ht="30" customHeight="1" x14ac:dyDescent="0.3">
      <c r="A4" s="35" t="s">
        <v>470</v>
      </c>
      <c r="B4" s="35"/>
      <c r="C4" s="35"/>
      <c r="D4" s="35"/>
      <c r="E4" s="35"/>
      <c r="F4" s="35"/>
      <c r="G4" s="35"/>
      <c r="H4" s="35"/>
      <c r="I4" s="35"/>
      <c r="J4" s="35"/>
      <c r="K4" s="35"/>
      <c r="L4" s="35"/>
      <c r="M4" s="35"/>
      <c r="N4" s="35"/>
      <c r="O4" s="35"/>
    </row>
    <row r="6" spans="1:15" ht="42" customHeight="1" x14ac:dyDescent="0.3">
      <c r="A6" s="1" t="s">
        <v>164</v>
      </c>
      <c r="B6" s="1" t="s">
        <v>165</v>
      </c>
      <c r="C6" s="1" t="s">
        <v>166</v>
      </c>
      <c r="D6" s="1" t="s">
        <v>167</v>
      </c>
      <c r="E6" s="29" t="s">
        <v>168</v>
      </c>
      <c r="F6" s="1" t="s">
        <v>169</v>
      </c>
      <c r="G6" s="1" t="s">
        <v>170</v>
      </c>
      <c r="H6" s="1" t="s">
        <v>171</v>
      </c>
      <c r="I6" s="1" t="s">
        <v>172</v>
      </c>
      <c r="J6" s="1" t="s">
        <v>173</v>
      </c>
      <c r="K6" s="1" t="s">
        <v>174</v>
      </c>
      <c r="L6" s="1" t="s">
        <v>175</v>
      </c>
      <c r="M6" s="1" t="s">
        <v>176</v>
      </c>
      <c r="N6" s="1" t="s">
        <v>177</v>
      </c>
      <c r="O6" s="1" t="s">
        <v>188</v>
      </c>
    </row>
    <row r="7" spans="1:15" ht="48" customHeight="1" x14ac:dyDescent="0.3">
      <c r="A7" s="1" t="s">
        <v>178</v>
      </c>
      <c r="B7" s="1"/>
      <c r="C7" s="1"/>
      <c r="D7" s="1" t="s">
        <v>179</v>
      </c>
      <c r="E7" s="29"/>
      <c r="F7" s="1"/>
      <c r="G7" s="1"/>
      <c r="H7" s="1"/>
      <c r="I7" s="1"/>
      <c r="J7" s="1"/>
      <c r="K7" s="1"/>
      <c r="L7" s="1"/>
      <c r="M7" s="1"/>
      <c r="N7" s="1"/>
      <c r="O7" s="1"/>
    </row>
    <row r="8" spans="1:15" ht="48" customHeight="1" x14ac:dyDescent="0.3">
      <c r="A8" s="1" t="s">
        <v>180</v>
      </c>
      <c r="B8" s="1"/>
      <c r="C8" s="1"/>
      <c r="D8" s="1" t="s">
        <v>179</v>
      </c>
      <c r="E8" s="29"/>
      <c r="F8" s="1"/>
      <c r="G8" s="1"/>
      <c r="H8" s="1"/>
      <c r="I8" s="1"/>
      <c r="J8" s="1"/>
      <c r="K8" s="1"/>
      <c r="L8" s="1"/>
      <c r="M8" s="1"/>
      <c r="N8" s="1"/>
      <c r="O8" s="1"/>
    </row>
    <row r="9" spans="1:15" ht="48" customHeight="1" x14ac:dyDescent="0.3">
      <c r="A9" s="1" t="s">
        <v>181</v>
      </c>
      <c r="B9" s="1"/>
      <c r="C9" s="1"/>
      <c r="D9" s="1" t="s">
        <v>179</v>
      </c>
      <c r="E9" s="29"/>
      <c r="F9" s="1"/>
      <c r="G9" s="1"/>
      <c r="H9" s="1"/>
      <c r="I9" s="1"/>
      <c r="J9" s="1"/>
      <c r="K9" s="1"/>
      <c r="L9" s="1"/>
      <c r="M9" s="1"/>
      <c r="N9" s="1"/>
      <c r="O9" s="1"/>
    </row>
    <row r="10" spans="1:15" ht="48" customHeight="1" x14ac:dyDescent="0.3">
      <c r="A10" s="1" t="s">
        <v>182</v>
      </c>
      <c r="B10" s="1"/>
      <c r="C10" s="1"/>
      <c r="D10" s="1" t="s">
        <v>179</v>
      </c>
      <c r="E10" s="29"/>
      <c r="F10" s="1"/>
      <c r="G10" s="1"/>
      <c r="H10" s="1"/>
      <c r="I10" s="1"/>
      <c r="J10" s="1"/>
      <c r="K10" s="1"/>
      <c r="L10" s="1"/>
      <c r="M10" s="1"/>
      <c r="N10" s="1"/>
      <c r="O10" s="1"/>
    </row>
    <row r="11" spans="1:15" ht="48" customHeight="1" x14ac:dyDescent="0.3">
      <c r="A11" s="1" t="s">
        <v>183</v>
      </c>
      <c r="B11" s="1"/>
      <c r="C11" s="1"/>
      <c r="D11" s="1" t="s">
        <v>179</v>
      </c>
      <c r="E11" s="29"/>
      <c r="F11" s="1"/>
      <c r="G11" s="1"/>
      <c r="H11" s="1"/>
      <c r="I11" s="1"/>
      <c r="J11" s="1"/>
      <c r="K11" s="1"/>
      <c r="L11" s="1"/>
      <c r="M11" s="1"/>
      <c r="N11" s="1"/>
      <c r="O11" s="1"/>
    </row>
    <row r="12" spans="1:15" ht="48" customHeight="1" x14ac:dyDescent="0.3">
      <c r="A12" s="1" t="s">
        <v>184</v>
      </c>
      <c r="B12" s="1"/>
      <c r="C12" s="1"/>
      <c r="D12" s="1" t="s">
        <v>179</v>
      </c>
      <c r="E12" s="29"/>
      <c r="F12" s="1"/>
      <c r="G12" s="1"/>
      <c r="H12" s="1"/>
      <c r="I12" s="1"/>
      <c r="J12" s="1"/>
      <c r="K12" s="1"/>
      <c r="L12" s="1"/>
      <c r="M12" s="1"/>
      <c r="N12" s="1"/>
      <c r="O12" s="1"/>
    </row>
    <row r="13" spans="1:15" ht="48" customHeight="1" x14ac:dyDescent="0.3">
      <c r="A13" s="1" t="s">
        <v>185</v>
      </c>
      <c r="B13" s="1"/>
      <c r="C13" s="1"/>
      <c r="D13" s="1" t="s">
        <v>179</v>
      </c>
      <c r="E13" s="29"/>
      <c r="F13" s="1"/>
      <c r="G13" s="1"/>
      <c r="H13" s="1"/>
      <c r="I13" s="1"/>
      <c r="J13" s="1"/>
      <c r="K13" s="1"/>
      <c r="L13" s="1"/>
      <c r="M13" s="1"/>
      <c r="N13" s="1"/>
      <c r="O13" s="1"/>
    </row>
    <row r="14" spans="1:15" ht="48" customHeight="1" x14ac:dyDescent="0.3">
      <c r="A14" s="1" t="s">
        <v>186</v>
      </c>
      <c r="B14" s="1"/>
      <c r="C14" s="1"/>
      <c r="D14" s="1" t="s">
        <v>179</v>
      </c>
      <c r="E14" s="29"/>
      <c r="F14" s="1"/>
      <c r="G14" s="1"/>
      <c r="H14" s="1"/>
      <c r="I14" s="1"/>
      <c r="J14" s="1"/>
      <c r="K14" s="1"/>
      <c r="L14" s="1"/>
      <c r="M14" s="1"/>
      <c r="N14" s="1"/>
      <c r="O14" s="1"/>
    </row>
  </sheetData>
  <mergeCells count="2">
    <mergeCell ref="A1:O1"/>
    <mergeCell ref="A4:O4"/>
  </mergeCells>
  <dataValidations count="3">
    <dataValidation type="list" allowBlank="1" showInputMessage="1" showErrorMessage="1" errorTitle="Choose a listed status" error="Select a status from the dropdown." sqref="D7:D14" xr:uid="{7A9530F6-C4C5-4BBB-AEB1-E0D271E02E18}">
      <formula1>"Not contacted,Invited,Scheduled,Completed,Not a fit,Declined"</formula1>
    </dataValidation>
    <dataValidation type="list" allowBlank="1" showInputMessage="1" showErrorMessage="1" sqref="C7:C14" xr:uid="{84F96C39-F63D-4B17-9E1D-7F849721C8B8}">
      <formula1>"1-10,11-25,26-50,51-100,100+,Not sure"</formula1>
    </dataValidation>
    <dataValidation type="list" allowBlank="1" showInputMessage="1" showErrorMessage="1" errorTitle="Choose a protocol status" error="Select Yes, No, or Not applicable." sqref="O7:O14" xr:uid="{97B9938A-1F0F-4D36-A69B-2C01EF203FCA}">
      <formula1>"Yes,No,Not applicable"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C873-AE17-4106-9BEF-8554DF41DEB7}">
  <dimension ref="A1:H18"/>
  <sheetViews>
    <sheetView workbookViewId="0">
      <selection sqref="A1:G1"/>
    </sheetView>
  </sheetViews>
  <sheetFormatPr defaultRowHeight="14.4" x14ac:dyDescent="0.3"/>
  <cols>
    <col min="1" max="1" width="15.77734375" customWidth="1"/>
    <col min="2" max="2" width="40.77734375" customWidth="1"/>
    <col min="3" max="3" width="18.77734375" customWidth="1"/>
    <col min="4" max="4" width="100.77734375" style="1" customWidth="1"/>
    <col min="5" max="5" width="15.77734375" customWidth="1"/>
    <col min="6" max="6" width="12.77734375" style="2" customWidth="1"/>
    <col min="7" max="7" width="85.77734375" style="1" customWidth="1"/>
    <col min="8" max="8" width="14.77734375" style="2" customWidth="1"/>
  </cols>
  <sheetData>
    <row r="1" spans="1:8" ht="21" x14ac:dyDescent="0.4">
      <c r="A1" s="40" t="s">
        <v>140</v>
      </c>
      <c r="B1" s="38"/>
      <c r="C1" s="38"/>
      <c r="D1" s="38"/>
      <c r="E1" s="38"/>
      <c r="F1" s="38"/>
      <c r="G1" s="38"/>
    </row>
    <row r="2" spans="1:8" ht="30" customHeight="1" x14ac:dyDescent="0.3">
      <c r="A2" s="35" t="s">
        <v>148</v>
      </c>
      <c r="B2" s="35"/>
      <c r="C2" s="35"/>
      <c r="D2" s="35"/>
      <c r="E2" s="35"/>
      <c r="F2" s="35"/>
      <c r="G2" s="35"/>
    </row>
    <row r="3" spans="1:8" x14ac:dyDescent="0.3">
      <c r="A3" t="s">
        <v>130</v>
      </c>
      <c r="B3">
        <f>IFERROR(ROWS(_xlfn.ANCHORARRAY(A5)),0)</f>
        <v>14</v>
      </c>
      <c r="D3" s="1" t="s">
        <v>147</v>
      </c>
      <c r="E3" s="2">
        <f>IFERROR(AVERAGE(_xlfn.ANCHORARRAY(H5)),0)</f>
        <v>0.72499999999999998</v>
      </c>
    </row>
    <row r="4" spans="1:8" x14ac:dyDescent="0.3">
      <c r="A4" s="21" t="s">
        <v>0</v>
      </c>
      <c r="B4" s="22" t="s">
        <v>1</v>
      </c>
      <c r="C4" s="22" t="s">
        <v>2</v>
      </c>
      <c r="D4" s="23" t="s">
        <v>3</v>
      </c>
      <c r="E4" s="22" t="s">
        <v>4</v>
      </c>
      <c r="F4" s="24" t="s">
        <v>5</v>
      </c>
      <c r="G4" s="25" t="s">
        <v>6</v>
      </c>
      <c r="H4" s="26" t="s">
        <v>146</v>
      </c>
    </row>
    <row r="5" spans="1:8" ht="43.2" x14ac:dyDescent="0.3">
      <c r="A5" s="8" t="str" cm="1">
        <f t="array" ref="A5:G18">_xlfn._xlws.FILTER('Task Register'!A2:G1001,'Task Register'!E2:E1001="Ongoing","")</f>
        <v>P1-S02</v>
      </c>
      <c r="B5" s="9" t="str">
        <v>Phase 1: Choose and validate the customer problem</v>
      </c>
      <c r="C5" s="9" t="str">
        <v>Step 2</v>
      </c>
      <c r="D5" s="10" t="str">
        <v>Choose one primary audience and describe its review workflow, current tools, and pain points.</v>
      </c>
      <c r="E5" s="9" t="str">
        <v>Ongoing</v>
      </c>
      <c r="F5" s="11">
        <v>0.5</v>
      </c>
      <c r="G5" s="12" t="str">
        <v>Drafted P1-S02-Audience-Workflow-Hypothesis.md: selected AppSec reviewer at a small software team; documented a likely review workflow, tool categories, and pain-point hypotheses. These are not verified customer facts. Update after interviews with 5-8 target users.</v>
      </c>
      <c r="H5" s="2" cm="1">
        <f t="array" ref="H5:H18">_xlfn._xlws.FILTER('Task Register'!H2:H1001,'Task Register'!E2:E1001="Ongoing","")</f>
        <v>0.5</v>
      </c>
    </row>
    <row r="6" spans="1:8" ht="43.2" x14ac:dyDescent="0.3">
      <c r="A6" s="13" t="str">
        <v>P1-S03</v>
      </c>
      <c r="B6" s="14" t="str">
        <v>Phase 1: Choose and validate the customer problem</v>
      </c>
      <c r="C6" s="14" t="str">
        <v>Step 3</v>
      </c>
      <c r="D6" s="15" t="str">
        <v>Speak with 5â€“8 people who match that audience. Ask about their current process, where work slows down, what they already use, and what would make a toolkit useful.</v>
      </c>
      <c r="E6" s="14" t="str">
        <v>Ongoing</v>
      </c>
      <c r="F6" s="16">
        <v>0.1</v>
      </c>
      <c r="G6" s="17" t="str">
        <v>Prepared P1-S03-Customer-Interview-Guide.md, neutral 25-30 minute interview script, invitation template, privacy guidance, synthesis criteria, and an eight-person Interview Log tab. No interviews have been conducted yet; this is preparation only.</v>
      </c>
      <c r="H6" s="2">
        <v>0.9</v>
      </c>
    </row>
    <row r="7" spans="1:8" ht="43.2" x14ac:dyDescent="0.3">
      <c r="A7" s="5" t="str">
        <v>P1-S04</v>
      </c>
      <c r="B7" s="6" t="str">
        <v>Phase 1: Choose and validate the customer problem</v>
      </c>
      <c r="C7" s="6" t="str">
        <v>Step 4</v>
      </c>
      <c r="D7" s="18" t="str">
        <v>Avoid pitching the proposed product during the first part of each conversation; learn how customers work today.</v>
      </c>
      <c r="E7" s="6" t="str">
        <v>Ongoing</v>
      </c>
      <c r="F7" s="19">
        <v>0.1</v>
      </c>
      <c r="G7" s="20" t="str">
        <v>Added a P1-S04 current-process-first protocol to the interview guide: keep the product out of the opening/workflow questions, defer the optional concept probe until the last 2-3 minutes, and log deviations. No interviews have been conducted; preparation only.</v>
      </c>
      <c r="H7" s="2">
        <v>0.9</v>
      </c>
    </row>
    <row r="8" spans="1:8" ht="43.2" x14ac:dyDescent="0.3">
      <c r="A8" t="str">
        <v>P1-S05</v>
      </c>
      <c r="B8" t="str">
        <v>Phase 1: Choose and validate the customer problem</v>
      </c>
      <c r="C8" t="str">
        <v>Step 5</v>
      </c>
      <c r="D8" s="1" t="str">
        <v>Summarize repeated needs, objections, existing alternatives, and language customers use.</v>
      </c>
      <c r="E8" t="str">
        <v>Ongoing</v>
      </c>
      <c r="F8" s="2">
        <v>0.1</v>
      </c>
      <c r="G8" s="1" t="str">
        <v>User-supplied fictional interview scenarios are in separate Practice tabs for rehearsal. They are not actual interviews or evidence; Interview Log remains at zero. P1-S05 remains ongoing pending real interview findings.</v>
      </c>
      <c r="H8" s="2">
        <v>0.9</v>
      </c>
    </row>
    <row r="9" spans="1:8" ht="43.2" x14ac:dyDescent="0.3">
      <c r="A9" t="str">
        <v>P1-S06</v>
      </c>
      <c r="B9" t="str">
        <v>Phase 1: Choose and validate the customer problem</v>
      </c>
      <c r="C9" t="str">
        <v>Step 6</v>
      </c>
      <c r="D9" s="1" t="str">
        <v>Decide whether to proceed, revise the audience/problem, or test another toolkit idea.</v>
      </c>
      <c r="E9" t="str">
        <v>Ongoing</v>
      </c>
      <c r="F9" s="2">
        <v>0.1</v>
      </c>
      <c r="G9" s="1" t="str">
        <v>Prepared P1-S06-Customer-Problem-Decision-Framework.md with proceed, revise, retarget, and pause criteria. The actual decision remains blocked until at least five qualified customer interviews and synthesis are complete.</v>
      </c>
      <c r="H9" s="2">
        <v>0.9</v>
      </c>
    </row>
    <row r="10" spans="1:8" ht="28.8" x14ac:dyDescent="0.3">
      <c r="A10" t="str">
        <v>P2-S01</v>
      </c>
      <c r="B10" t="str">
        <v>Phase 2: Define the minimum useful toolkit</v>
      </c>
      <c r="C10" t="str">
        <v>Step 1</v>
      </c>
      <c r="D10" s="1" t="str">
        <v>Write a one-sentence product promise focused on a practical task, not a guaranteed security outcome.</v>
      </c>
      <c r="E10" t="str">
        <v>Ongoing</v>
      </c>
      <c r="F10" s="2">
        <v>0.25</v>
      </c>
      <c r="G10" s="1" t="str">
        <v>Drafted a one-sentence workflow-support promise in P2-Application-Review-Kit-Product-Brief.md. Validate wording and problem importance with target users before finalizing.</v>
      </c>
      <c r="H10" s="2">
        <v>0.75</v>
      </c>
    </row>
    <row r="11" spans="1:8" ht="28.8" x14ac:dyDescent="0.3">
      <c r="A11" t="str">
        <v>P2-S02</v>
      </c>
      <c r="B11" t="str">
        <v>Phase 2: Define the minimum useful toolkit</v>
      </c>
      <c r="C11" t="str">
        <v>Step 2</v>
      </c>
      <c r="D11" s="1" t="str">
        <v>Define the intended user, prerequisites, and situations where the toolkit is not suitable.</v>
      </c>
      <c r="E11" t="str">
        <v>Ongoing</v>
      </c>
      <c r="F11" s="2">
        <v>0.25</v>
      </c>
      <c r="G11" s="1" t="str">
        <v>Provisional intended user, prerequisites, and exclusions drafted in P2-Application-Review-Kit-Product-Brief.md. Audience and workflow remain unvalidated hypotheses.</v>
      </c>
      <c r="H11" s="2">
        <v>0.75</v>
      </c>
    </row>
    <row r="12" spans="1:8" ht="43.2" x14ac:dyDescent="0.3">
      <c r="A12" t="str">
        <v>P2-S03</v>
      </c>
      <c r="B12" t="str">
        <v>Phase 2: Define the minimum useful toolkit</v>
      </c>
      <c r="C12" t="str">
        <v>Step 3</v>
      </c>
      <c r="D12" s="1" t="str">
        <v>Select only the worksheets, checklists, and templates necessary to complete the task.</v>
      </c>
      <c r="E12" t="str">
        <v>Ongoing</v>
      </c>
      <c r="F12" s="2">
        <v>0.25</v>
      </c>
      <c r="G12" s="1" t="str">
        <v>Six candidate resources in the existing catalog were organized as a provisional minimum set in P2-Application-Review-Kit-Product-Brief.md. Include/remove decisions await interviews and prototype feedback.</v>
      </c>
      <c r="H12" s="2">
        <v>0.75</v>
      </c>
    </row>
    <row r="13" spans="1:8" ht="28.8" x14ac:dyDescent="0.3">
      <c r="A13" t="str">
        <v>P2-S04</v>
      </c>
      <c r="B13" t="str">
        <v>Phase 2: Define the minimum useful toolkit</v>
      </c>
      <c r="C13" t="str">
        <v>Step 4</v>
      </c>
      <c r="D13" s="1" t="str">
        <v>Describe the expected workflow: what the user provides, what they do with each resource, and what they finish with.</v>
      </c>
      <c r="E13" t="str">
        <v>Ongoing</v>
      </c>
      <c r="F13" s="2">
        <v>0.3</v>
      </c>
      <c r="G13" s="1" t="str">
        <v>Drafted a five-step intake-to-remediation workflow and expected outputs in P2-Application-Review-Kit-Product-Brief.md. Confirm with real users before treating as final.</v>
      </c>
      <c r="H13" s="2">
        <v>0.7</v>
      </c>
    </row>
    <row r="14" spans="1:8" ht="43.2" x14ac:dyDescent="0.3">
      <c r="A14" t="str">
        <v>P2-S06</v>
      </c>
      <c r="B14" t="str">
        <v>Phase 2: Define the minimum useful toolkit</v>
      </c>
      <c r="C14" t="str">
        <v>Step 6</v>
      </c>
      <c r="D14" s="1" t="str">
        <v>Identify any security, privacy, licensing, accessibility, or compatibility considerations.</v>
      </c>
      <c r="E14" t="str">
        <v>Ongoing</v>
      </c>
      <c r="F14" s="2">
        <v>0.2</v>
      </c>
      <c r="G14" s="1" t="str">
        <v>Draft safeguards cover confidential data, authorization, licensing, accessibility, compatibility, and limitations in P2-Application-Review-Kit-Product-Brief.md. Review and validate before prototype or release.</v>
      </c>
      <c r="H14" s="2">
        <v>0.8</v>
      </c>
    </row>
    <row r="15" spans="1:8" ht="28.8" x14ac:dyDescent="0.3">
      <c r="A15" t="str">
        <v>P6-S02</v>
      </c>
      <c r="B15" t="str">
        <v>Phase 6: Update and test the website</v>
      </c>
      <c r="C15" t="str">
        <v>Step 2</v>
      </c>
      <c r="D15" s="1" t="str">
        <v>Keep proposed information visibly labeled until it is confirmed; remove placeholder prices when they are no longer appropriate.</v>
      </c>
      <c r="E15" t="str">
        <v>Ongoing</v>
      </c>
      <c r="F15" s="2">
        <v>0.5</v>
      </c>
      <c r="G15" s="1" t="str">
        <v>Concept availability and proposed-pricing labels are in place; update/remove placeholders once the offer and price are validated.</v>
      </c>
      <c r="H15" s="2">
        <v>0.5</v>
      </c>
    </row>
    <row r="16" spans="1:8" ht="28.8" x14ac:dyDescent="0.3">
      <c r="A16" t="str">
        <v>P6-S04</v>
      </c>
      <c r="B16" t="str">
        <v>Phase 6: Update and test the website</v>
      </c>
      <c r="C16" t="str">
        <v>Step 4</v>
      </c>
      <c r="D16" s="1" t="str">
        <v>Keep toolkit search, category filters, and comparison instructions understandable and test them with users.</v>
      </c>
      <c r="E16" t="str">
        <v>Ongoing</v>
      </c>
      <c r="F16" s="2">
        <v>0.5</v>
      </c>
      <c r="G16" s="1" t="str">
        <v>Comparison instructions and the page jump link were clarified; target-user testing of search, filters, and comparison remains.</v>
      </c>
      <c r="H16" s="2">
        <v>0.5</v>
      </c>
    </row>
    <row r="17" spans="1:8" ht="28.8" x14ac:dyDescent="0.3">
      <c r="A17" t="str">
        <v>P6-S07</v>
      </c>
      <c r="B17" t="str">
        <v>Phase 6: Update and test the website</v>
      </c>
      <c r="C17" t="str">
        <v>Step 7</v>
      </c>
      <c r="D17" s="1" t="str">
        <v>Test keyboard access, screen-reader labels, color contrast, mobile layouts, page speed, links, and error states.</v>
      </c>
      <c r="E17" t="str">
        <v>Ongoing</v>
      </c>
      <c r="F17" s="2">
        <v>0.2</v>
      </c>
      <c r="G17" s="1" t="str">
        <v>Added reduced-motion support and updated concept journey copy. Full keyboard, screen-reader, contrast, mobile, speed, and error-state testing remains.</v>
      </c>
      <c r="H17" s="2">
        <v>0.8</v>
      </c>
    </row>
    <row r="18" spans="1:8" ht="28.8" x14ac:dyDescent="0.3">
      <c r="A18" t="str">
        <v>P6-S08</v>
      </c>
      <c r="B18" t="str">
        <v>Phase 6: Update and test the website</v>
      </c>
      <c r="C18" t="str">
        <v>Step 8</v>
      </c>
      <c r="D18" s="1" t="str">
        <v>Keep search indexing disabled while the site is a concept; review metadata and enable indexing when the public offer is ready.</v>
      </c>
      <c r="E18" t="str">
        <v>Ongoing</v>
      </c>
      <c r="F18" s="2">
        <v>0.5</v>
      </c>
      <c r="G18" s="1" t="str">
        <v>Indexing remains disabled while the site is a concept; final metadata review and launch-time indexing decision remain.</v>
      </c>
      <c r="H18" s="2">
        <v>0.5</v>
      </c>
    </row>
  </sheetData>
  <mergeCells count="2">
    <mergeCell ref="A1:G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F246-2707-4D7D-B7E4-9010696D0E11}">
  <dimension ref="A1:H45"/>
  <sheetViews>
    <sheetView workbookViewId="0"/>
  </sheetViews>
  <sheetFormatPr defaultRowHeight="14.4" x14ac:dyDescent="0.3"/>
  <cols>
    <col min="1" max="1" width="15.77734375" customWidth="1"/>
    <col min="2" max="2" width="40.77734375" customWidth="1"/>
    <col min="3" max="3" width="18.77734375" customWidth="1"/>
    <col min="4" max="4" width="100.77734375" style="1" customWidth="1"/>
    <col min="5" max="5" width="15.77734375" customWidth="1"/>
    <col min="6" max="6" width="12.77734375" style="2" customWidth="1"/>
    <col min="7" max="7" width="85.77734375" style="1" customWidth="1"/>
    <col min="8" max="8" width="14.77734375" style="2" customWidth="1"/>
  </cols>
  <sheetData>
    <row r="1" spans="1:8" ht="21" x14ac:dyDescent="0.4">
      <c r="A1" s="40" t="s">
        <v>139</v>
      </c>
      <c r="B1" s="38"/>
      <c r="C1" s="38"/>
      <c r="D1" s="38"/>
      <c r="E1" s="38"/>
      <c r="F1" s="38"/>
      <c r="G1" s="38"/>
    </row>
    <row r="2" spans="1:8" ht="30" customHeight="1" x14ac:dyDescent="0.3">
      <c r="A2" s="35" t="s">
        <v>148</v>
      </c>
      <c r="B2" s="35"/>
      <c r="C2" s="35"/>
      <c r="D2" s="35"/>
      <c r="E2" s="35"/>
      <c r="F2" s="35"/>
      <c r="G2" s="35"/>
    </row>
    <row r="3" spans="1:8" x14ac:dyDescent="0.3">
      <c r="A3" t="s">
        <v>130</v>
      </c>
      <c r="B3">
        <f>IFERROR(ROWS(_xlfn.ANCHORARRAY(A5)),0)</f>
        <v>30</v>
      </c>
      <c r="D3" s="1" t="s">
        <v>147</v>
      </c>
      <c r="E3" s="2">
        <f>IFERROR(AVERAGE(_xlfn.ANCHORARRAY(H5)),0)</f>
        <v>1</v>
      </c>
    </row>
    <row r="4" spans="1:8" x14ac:dyDescent="0.3">
      <c r="A4" s="21" t="s">
        <v>0</v>
      </c>
      <c r="B4" s="22" t="s">
        <v>1</v>
      </c>
      <c r="C4" s="22" t="s">
        <v>2</v>
      </c>
      <c r="D4" s="23" t="s">
        <v>3</v>
      </c>
      <c r="E4" s="22" t="s">
        <v>4</v>
      </c>
      <c r="F4" s="24" t="s">
        <v>5</v>
      </c>
      <c r="G4" s="25" t="s">
        <v>6</v>
      </c>
      <c r="H4" s="26" t="s">
        <v>146</v>
      </c>
    </row>
    <row r="5" spans="1:8" x14ac:dyDescent="0.3">
      <c r="A5" s="8" t="str" cm="1">
        <f t="array" ref="A5:G34">_xlfn._xlws.FILTER('Task Register'!A2:G1001,'Task Register'!E2:E1001="Pending","")</f>
        <v>P2-S05</v>
      </c>
      <c r="B5" s="9" t="str">
        <v>Phase 2: Define the minimum useful toolkit</v>
      </c>
      <c r="C5" s="9" t="str">
        <v>Step 5</v>
      </c>
      <c r="D5" s="10" t="str">
        <v>Choose the file formats based on how customers already work.</v>
      </c>
      <c r="E5" s="9" t="str">
        <v>Pending</v>
      </c>
      <c r="F5" s="11">
        <v>0</v>
      </c>
      <c r="G5" s="12" t="str">
        <v>Not yet confirmed as complete. Update this task in the Task Register as work progresses.</v>
      </c>
      <c r="H5" s="2" cm="1">
        <f t="array" ref="H5:H34">_xlfn._xlws.FILTER('Task Register'!H2:H1001,'Task Register'!E2:E1001="Pending","")</f>
        <v>1</v>
      </c>
    </row>
    <row r="6" spans="1:8" x14ac:dyDescent="0.3">
      <c r="A6" s="13" t="str">
        <v>P3-S01</v>
      </c>
      <c r="B6" s="14" t="str">
        <v>Phase 3: Build and test a prototype</v>
      </c>
      <c r="C6" s="14" t="str">
        <v>Step 1</v>
      </c>
      <c r="D6" s="15" t="str">
        <v>Create a rough but complete prototype of the minimum useful toolkit.</v>
      </c>
      <c r="E6" s="14" t="str">
        <v>Pending</v>
      </c>
      <c r="F6" s="16">
        <v>0</v>
      </c>
      <c r="G6" s="17" t="str">
        <v>Not yet confirmed as complete. Update this task in the Task Register as work progresses.</v>
      </c>
      <c r="H6" s="2">
        <v>1</v>
      </c>
    </row>
    <row r="7" spans="1:8" x14ac:dyDescent="0.3">
      <c r="A7" s="8" t="str">
        <v>P3-S02</v>
      </c>
      <c r="B7" s="9" t="str">
        <v>Phase 3: Build and test a prototype</v>
      </c>
      <c r="C7" s="9" t="str">
        <v>Step 2</v>
      </c>
      <c r="D7" s="10" t="str">
        <v>Use fictional or sanitized examples; do not include customer confidential information.</v>
      </c>
      <c r="E7" s="9" t="str">
        <v>Pending</v>
      </c>
      <c r="F7" s="11">
        <v>0</v>
      </c>
      <c r="G7" s="12" t="str">
        <v>Not yet confirmed as complete. Update this task in the Task Register as work progresses.</v>
      </c>
      <c r="H7" s="2">
        <v>1</v>
      </c>
    </row>
    <row r="8" spans="1:8" x14ac:dyDescent="0.3">
      <c r="A8" s="13" t="str">
        <v>P3-S03</v>
      </c>
      <c r="B8" s="14" t="str">
        <v>Phase 3: Build and test a prototype</v>
      </c>
      <c r="C8" s="14" t="str">
        <v>Step 3</v>
      </c>
      <c r="D8" s="15" t="str">
        <v>Ask 3â€“5 target users to complete a realistic task with the prototype.</v>
      </c>
      <c r="E8" s="14" t="str">
        <v>Pending</v>
      </c>
      <c r="F8" s="16">
        <v>0</v>
      </c>
      <c r="G8" s="17" t="str">
        <v>Not yet confirmed as complete. Update this task in the Task Register as work progresses.</v>
      </c>
      <c r="H8" s="2">
        <v>1</v>
      </c>
    </row>
    <row r="9" spans="1:8" x14ac:dyDescent="0.3">
      <c r="A9" s="8" t="str">
        <v>P3-S04</v>
      </c>
      <c r="B9" s="9" t="str">
        <v>Phase 3: Build and test a prototype</v>
      </c>
      <c r="C9" s="9" t="str">
        <v>Step 4</v>
      </c>
      <c r="D9" s="10" t="str">
        <v>Observe where they hesitate, misunderstand instructions, or need information that is missing.</v>
      </c>
      <c r="E9" s="9" t="str">
        <v>Pending</v>
      </c>
      <c r="F9" s="11">
        <v>0</v>
      </c>
      <c r="G9" s="12" t="str">
        <v>Not yet confirmed as complete. Update this task in the Task Register as work progresses.</v>
      </c>
      <c r="H9" s="2">
        <v>1</v>
      </c>
    </row>
    <row r="10" spans="1:8" x14ac:dyDescent="0.3">
      <c r="A10" s="13" t="str">
        <v>P3-S05</v>
      </c>
      <c r="B10" s="14" t="str">
        <v>Phase 3: Build and test a prototype</v>
      </c>
      <c r="C10" s="14" t="str">
        <v>Step 5</v>
      </c>
      <c r="D10" s="15" t="str">
        <v>Ask what they would change, what they would not use, and what they expected to be included.</v>
      </c>
      <c r="E10" s="14" t="str">
        <v>Pending</v>
      </c>
      <c r="F10" s="16">
        <v>0</v>
      </c>
      <c r="G10" s="17" t="str">
        <v>Not yet confirmed as complete. Update this task in the Task Register as work progresses.</v>
      </c>
      <c r="H10" s="2">
        <v>1</v>
      </c>
    </row>
    <row r="11" spans="1:8" x14ac:dyDescent="0.3">
      <c r="A11" s="8" t="str">
        <v>P3-S06</v>
      </c>
      <c r="B11" s="9" t="str">
        <v>Phase 3: Build and test a prototype</v>
      </c>
      <c r="C11" s="9" t="str">
        <v>Step 6</v>
      </c>
      <c r="D11" s="10" t="str">
        <v>Revise the toolkit and repeat the test for any major workflow changes.</v>
      </c>
      <c r="E11" s="9" t="str">
        <v>Pending</v>
      </c>
      <c r="F11" s="11">
        <v>0</v>
      </c>
      <c r="G11" s="12" t="str">
        <v>Not yet confirmed as complete. Update this task in the Task Register as work progresses.</v>
      </c>
      <c r="H11" s="2">
        <v>1</v>
      </c>
    </row>
    <row r="12" spans="1:8" x14ac:dyDescent="0.3">
      <c r="A12" s="13" t="str">
        <v>P3-S07</v>
      </c>
      <c r="B12" s="14" t="str">
        <v>Phase 3: Build and test a prototype</v>
      </c>
      <c r="C12" s="14" t="str">
        <v>Step 7</v>
      </c>
      <c r="D12" s="15" t="str">
        <v>Check that examples are clearly labeled and do not imply guaranteed security, compliance, or business results.</v>
      </c>
      <c r="E12" s="14" t="str">
        <v>Pending</v>
      </c>
      <c r="F12" s="16">
        <v>0</v>
      </c>
      <c r="G12" s="17" t="str">
        <v>Not yet confirmed as complete. Update this task in the Task Register as work progresses.</v>
      </c>
      <c r="H12" s="2">
        <v>1</v>
      </c>
    </row>
    <row r="13" spans="1:8" x14ac:dyDescent="0.3">
      <c r="A13" s="8" t="str">
        <v>P4-S01</v>
      </c>
      <c r="B13" s="9" t="str">
        <v>Phase 4: Confirm the offer and price</v>
      </c>
      <c r="C13" s="9" t="str">
        <v>Step 1</v>
      </c>
      <c r="D13" s="10" t="str">
        <v>Finalize the deliverables, formats, version, setup requirements, and compatibility notes.</v>
      </c>
      <c r="E13" s="9" t="str">
        <v>Pending</v>
      </c>
      <c r="F13" s="11">
        <v>0</v>
      </c>
      <c r="G13" s="12" t="str">
        <v>Not yet confirmed as complete. Update this task in the Task Register as work progresses.</v>
      </c>
      <c r="H13" s="2">
        <v>1</v>
      </c>
    </row>
    <row r="14" spans="1:8" x14ac:dyDescent="0.3">
      <c r="A14" s="13" t="str">
        <v>P4-S02</v>
      </c>
      <c r="B14" s="14" t="str">
        <v>Phase 4: Confirm the offer and price</v>
      </c>
      <c r="C14" s="14" t="str">
        <v>Step 2</v>
      </c>
      <c r="D14" s="15" t="str">
        <v>Estimate creation, maintenance, support, and delivery costs.</v>
      </c>
      <c r="E14" s="14" t="str">
        <v>Pending</v>
      </c>
      <c r="F14" s="16">
        <v>0</v>
      </c>
      <c r="G14" s="17" t="str">
        <v>Not yet confirmed as complete. Update this task in the Task Register as work progresses.</v>
      </c>
      <c r="H14" s="2">
        <v>1</v>
      </c>
    </row>
    <row r="15" spans="1:8" x14ac:dyDescent="0.3">
      <c r="A15" s="8" t="str">
        <v>P4-S03</v>
      </c>
      <c r="B15" s="9" t="str">
        <v>Phase 4: Confirm the offer and price</v>
      </c>
      <c r="C15" s="9" t="str">
        <v>Step 3</v>
      </c>
      <c r="D15" s="10" t="str">
        <v>Ask target users about the value and price expectations; compare these with costs and alternatives.</v>
      </c>
      <c r="E15" s="9" t="str">
        <v>Pending</v>
      </c>
      <c r="F15" s="11">
        <v>0</v>
      </c>
      <c r="G15" s="12" t="str">
        <v>Not yet confirmed as complete. Update this task in the Task Register as work progresses.</v>
      </c>
      <c r="H15" s="2">
        <v>1</v>
      </c>
    </row>
    <row r="16" spans="1:8" x14ac:dyDescent="0.3">
      <c r="A16" s="13" t="str">
        <v>P4-S04</v>
      </c>
      <c r="B16" s="14" t="str">
        <v>Phase 4: Confirm the offer and price</v>
      </c>
      <c r="C16" s="14" t="str">
        <v>Step 4</v>
      </c>
      <c r="D16" s="15" t="str">
        <v>Set an initial price only after confirming the product and delivery method.</v>
      </c>
      <c r="E16" s="14" t="str">
        <v>Pending</v>
      </c>
      <c r="F16" s="16">
        <v>0</v>
      </c>
      <c r="G16" s="17" t="str">
        <v>Not yet confirmed as complete. Update this task in the Task Register as work progresses.</v>
      </c>
      <c r="H16" s="2">
        <v>1</v>
      </c>
    </row>
    <row r="17" spans="1:8" x14ac:dyDescent="0.3">
      <c r="A17" s="8" t="str">
        <v>P4-S05</v>
      </c>
      <c r="B17" s="9" t="str">
        <v>Phase 4: Confirm the offer and price</v>
      </c>
      <c r="C17" s="9" t="str">
        <v>Step 5</v>
      </c>
      <c r="D17" s="10" t="str">
        <v>Define what customers receive, how updates work, what support is included, and any usage limits.</v>
      </c>
      <c r="E17" s="9" t="str">
        <v>Pending</v>
      </c>
      <c r="F17" s="11">
        <v>0</v>
      </c>
      <c r="G17" s="12" t="str">
        <v>Not yet confirmed as complete. Update this task in the Task Register as work progresses.</v>
      </c>
      <c r="H17" s="2">
        <v>1</v>
      </c>
    </row>
    <row r="18" spans="1:8" x14ac:dyDescent="0.3">
      <c r="A18" s="13" t="str">
        <v>P4-S06</v>
      </c>
      <c r="B18" s="14" t="str">
        <v>Phase 4: Confirm the offer and price</v>
      </c>
      <c r="C18" s="14" t="str">
        <v>Step 6</v>
      </c>
      <c r="D18" s="15" t="str">
        <v>Decide whether bundles make sense after the first individual toolkit is validated.</v>
      </c>
      <c r="E18" s="14" t="str">
        <v>Pending</v>
      </c>
      <c r="F18" s="16">
        <v>0</v>
      </c>
      <c r="G18" s="17" t="str">
        <v>Not yet confirmed as complete. Update this task in the Task Register as work progresses.</v>
      </c>
      <c r="H18" s="2">
        <v>1</v>
      </c>
    </row>
    <row r="19" spans="1:8" x14ac:dyDescent="0.3">
      <c r="A19" s="8" t="str">
        <v>P5-S01</v>
      </c>
      <c r="B19" s="9" t="str">
        <v>Phase 5: Prepare business and customer operations</v>
      </c>
      <c r="C19" s="9" t="str">
        <v>Step 1</v>
      </c>
      <c r="D19" s="10" t="str">
        <v>Choose an email/signup service before collecting customer addresses.</v>
      </c>
      <c r="E19" s="9" t="str">
        <v>Pending</v>
      </c>
      <c r="F19" s="11">
        <v>0</v>
      </c>
      <c r="G19" s="12" t="str">
        <v>Signup was intentionally deferred until a signup service/link is available; keep collection disabled.</v>
      </c>
      <c r="H19" s="2">
        <v>1</v>
      </c>
    </row>
    <row r="20" spans="1:8" ht="28.8" x14ac:dyDescent="0.3">
      <c r="A20" s="13" t="str">
        <v>P5-S02</v>
      </c>
      <c r="B20" s="14" t="str">
        <v>Phase 5: Prepare business and customer operations</v>
      </c>
      <c r="C20" s="14" t="str">
        <v>Step 2</v>
      </c>
      <c r="D20" s="15" t="str">
        <v>Explain what information is collected, why it is collected, how it will be used, and how a person can unsubscribe or request removal.</v>
      </c>
      <c r="E20" s="14" t="str">
        <v>Pending</v>
      </c>
      <c r="F20" s="16">
        <v>0</v>
      </c>
      <c r="G20" s="17" t="str">
        <v>Not yet confirmed as complete. Update this task in the Task Register as work progresses.</v>
      </c>
      <c r="H20" s="2">
        <v>1</v>
      </c>
    </row>
    <row r="21" spans="1:8" x14ac:dyDescent="0.3">
      <c r="A21" s="8" t="str">
        <v>P5-S03</v>
      </c>
      <c r="B21" s="9" t="str">
        <v>Phase 5: Prepare business and customer operations</v>
      </c>
      <c r="C21" s="9" t="str">
        <v>Step 3</v>
      </c>
      <c r="D21" s="10" t="str">
        <v>Select a payment and delivery method before enabling checkout.</v>
      </c>
      <c r="E21" s="9" t="str">
        <v>Pending</v>
      </c>
      <c r="F21" s="11">
        <v>0</v>
      </c>
      <c r="G21" s="12" t="str">
        <v>Not yet confirmed as complete. Update this task in the Task Register as work progresses.</v>
      </c>
      <c r="H21" s="2">
        <v>1</v>
      </c>
    </row>
    <row r="22" spans="1:8" x14ac:dyDescent="0.3">
      <c r="A22" s="13" t="str">
        <v>P5-S04</v>
      </c>
      <c r="B22" s="14" t="str">
        <v>Phase 5: Prepare business and customer operations</v>
      </c>
      <c r="C22" s="14" t="str">
        <v>Step 4</v>
      </c>
      <c r="D22" s="15" t="str">
        <v>Prepare accurate contact, privacy, licensing, refund, support, and delivery information for the business model.</v>
      </c>
      <c r="E22" s="14" t="str">
        <v>Pending</v>
      </c>
      <c r="F22" s="16">
        <v>0</v>
      </c>
      <c r="G22" s="17" t="str">
        <v>Not yet confirmed as complete. Update this task in the Task Register as work progresses.</v>
      </c>
      <c r="H22" s="2">
        <v>1</v>
      </c>
    </row>
    <row r="23" spans="1:8" x14ac:dyDescent="0.3">
      <c r="A23" s="8" t="str">
        <v>P5-S05</v>
      </c>
      <c r="B23" s="9" t="str">
        <v>Phase 5: Prepare business and customer operations</v>
      </c>
      <c r="C23" s="9" t="str">
        <v>Step 5</v>
      </c>
      <c r="D23" s="10" t="str">
        <v>Confirm relevant tax, consumer-protection, and other legal obligations with qualified professionals where needed.</v>
      </c>
      <c r="E23" s="9" t="str">
        <v>Pending</v>
      </c>
      <c r="F23" s="11">
        <v>0</v>
      </c>
      <c r="G23" s="12" t="str">
        <v>Not yet confirmed as complete. Update this task in the Task Register as work progresses.</v>
      </c>
      <c r="H23" s="2">
        <v>1</v>
      </c>
    </row>
    <row r="24" spans="1:8" x14ac:dyDescent="0.3">
      <c r="A24" s="13" t="str">
        <v>P5-S06</v>
      </c>
      <c r="B24" s="14" t="str">
        <v>Phase 5: Prepare business and customer operations</v>
      </c>
      <c r="C24" s="14" t="str">
        <v>Step 6</v>
      </c>
      <c r="D24" s="15" t="str">
        <v>Create a process for customer questions, delivery issues, corrections, and product updates.</v>
      </c>
      <c r="E24" s="14" t="str">
        <v>Pending</v>
      </c>
      <c r="F24" s="16">
        <v>0</v>
      </c>
      <c r="G24" s="17" t="str">
        <v>Not yet confirmed as complete. Update this task in the Task Register as work progresses.</v>
      </c>
      <c r="H24" s="2">
        <v>1</v>
      </c>
    </row>
    <row r="25" spans="1:8" x14ac:dyDescent="0.3">
      <c r="A25" s="8" t="str">
        <v>P6-S01</v>
      </c>
      <c r="B25" s="9" t="str">
        <v>Phase 6: Update and test the website</v>
      </c>
      <c r="C25" s="9" t="str">
        <v>Step 1</v>
      </c>
      <c r="D25" s="10" t="str">
        <v>Replace concept descriptions with the validated audience, task, contents, and limitations.</v>
      </c>
      <c r="E25" s="9" t="str">
        <v>Pending</v>
      </c>
      <c r="F25" s="11">
        <v>0</v>
      </c>
      <c r="G25" s="12" t="str">
        <v>Not yet confirmed as complete. Update this task in the Task Register as work progresses.</v>
      </c>
      <c r="H25" s="2">
        <v>1</v>
      </c>
    </row>
    <row r="26" spans="1:8" x14ac:dyDescent="0.3">
      <c r="A26" s="13" t="str">
        <v>P6-S05</v>
      </c>
      <c r="B26" s="14" t="str">
        <v>Phase 6: Update and test the website</v>
      </c>
      <c r="C26" s="14" t="str">
        <v>Step 5</v>
      </c>
      <c r="D26" s="15" t="str">
        <v>Add a signup link only after the signup service and privacy explanation are ready.</v>
      </c>
      <c r="E26" s="14" t="str">
        <v>Pending</v>
      </c>
      <c r="F26" s="16">
        <v>0</v>
      </c>
      <c r="G26" s="17" t="str">
        <v>Not yet confirmed as complete. Update this task in the Task Register as work progresses.</v>
      </c>
      <c r="H26" s="2">
        <v>1</v>
      </c>
    </row>
    <row r="27" spans="1:8" x14ac:dyDescent="0.3">
      <c r="A27" s="8" t="str">
        <v>P6-S06</v>
      </c>
      <c r="B27" s="9" t="str">
        <v>Phase 6: Update and test the website</v>
      </c>
      <c r="C27" s="9" t="str">
        <v>Step 6</v>
      </c>
      <c r="D27" s="10" t="str">
        <v>Add checkout only after payment, delivery, support, and customer policies are ready.</v>
      </c>
      <c r="E27" s="9" t="str">
        <v>Pending</v>
      </c>
      <c r="F27" s="11">
        <v>0</v>
      </c>
      <c r="G27" s="12" t="str">
        <v>Not yet confirmed as complete. Update this task in the Task Register as work progresses.</v>
      </c>
      <c r="H27" s="2">
        <v>1</v>
      </c>
    </row>
    <row r="28" spans="1:8" x14ac:dyDescent="0.3">
      <c r="A28" s="13" t="str">
        <v>P7-S01</v>
      </c>
      <c r="B28" s="14" t="str">
        <v>Phase 7: Launch and learn</v>
      </c>
      <c r="C28" s="14" t="str">
        <v>Step 1</v>
      </c>
      <c r="D28" s="15" t="str">
        <v>Run a final purchase-to-delivery test before announcing availability.</v>
      </c>
      <c r="E28" s="14" t="str">
        <v>Pending</v>
      </c>
      <c r="F28" s="16">
        <v>0</v>
      </c>
      <c r="G28" s="17" t="str">
        <v>Not yet confirmed as complete. Update this task in the Task Register as work progresses.</v>
      </c>
      <c r="H28" s="2">
        <v>1</v>
      </c>
    </row>
    <row r="29" spans="1:8" x14ac:dyDescent="0.3">
      <c r="A29" s="8" t="str">
        <v>P7-S02</v>
      </c>
      <c r="B29" s="9" t="str">
        <v>Phase 7: Launch and learn</v>
      </c>
      <c r="C29" s="9" t="str">
        <v>Step 2</v>
      </c>
      <c r="D29" s="10" t="str">
        <v>Confirm product files, pricing, terms, support contact, and confirmation messages match the site.</v>
      </c>
      <c r="E29" s="9" t="str">
        <v>Pending</v>
      </c>
      <c r="F29" s="11">
        <v>0</v>
      </c>
      <c r="G29" s="12" t="str">
        <v>Not yet confirmed as complete. Update this task in the Task Register as work progresses.</v>
      </c>
      <c r="H29" s="2">
        <v>1</v>
      </c>
    </row>
    <row r="30" spans="1:8" x14ac:dyDescent="0.3">
      <c r="A30" s="13" t="str">
        <v>P7-S03</v>
      </c>
      <c r="B30" s="14" t="str">
        <v>Phase 7: Launch and learn</v>
      </c>
      <c r="C30" s="14" t="str">
        <v>Step 3</v>
      </c>
      <c r="D30" s="15" t="str">
        <v>Announce availability to the validated audience using appropriate channels.</v>
      </c>
      <c r="E30" s="14" t="str">
        <v>Pending</v>
      </c>
      <c r="F30" s="16">
        <v>0</v>
      </c>
      <c r="G30" s="17" t="str">
        <v>Not yet confirmed as complete. Update this task in the Task Register as work progresses.</v>
      </c>
      <c r="H30" s="2">
        <v>1</v>
      </c>
    </row>
    <row r="31" spans="1:8" x14ac:dyDescent="0.3">
      <c r="A31" s="8" t="str">
        <v>P7-S04</v>
      </c>
      <c r="B31" s="9" t="str">
        <v>Phase 7: Launch and learn</v>
      </c>
      <c r="C31" s="9" t="str">
        <v>Step 4</v>
      </c>
      <c r="D31" s="10" t="str">
        <v>Track questions, drop-off points, delivery problems, refunds, and customer feedback.</v>
      </c>
      <c r="E31" s="9" t="str">
        <v>Pending</v>
      </c>
      <c r="F31" s="11">
        <v>0</v>
      </c>
      <c r="G31" s="12" t="str">
        <v>Not yet confirmed as complete. Update this task in the Task Register as work progresses.</v>
      </c>
      <c r="H31" s="2">
        <v>1</v>
      </c>
    </row>
    <row r="32" spans="1:8" x14ac:dyDescent="0.3">
      <c r="A32" s="13" t="str">
        <v>P7-S05</v>
      </c>
      <c r="B32" s="14" t="str">
        <v>Phase 7: Launch and learn</v>
      </c>
      <c r="C32" s="14" t="str">
        <v>Step 5</v>
      </c>
      <c r="D32" s="15" t="str">
        <v>Review feedback on a regular schedule and prioritize changes by customer impact.</v>
      </c>
      <c r="E32" s="14" t="str">
        <v>Pending</v>
      </c>
      <c r="F32" s="16">
        <v>0</v>
      </c>
      <c r="G32" s="17" t="str">
        <v>Not yet confirmed as complete. Update this task in the Task Register as work progresses.</v>
      </c>
      <c r="H32" s="2">
        <v>1</v>
      </c>
    </row>
    <row r="33" spans="1:8" x14ac:dyDescent="0.3">
      <c r="A33" s="8" t="str">
        <v>P7-S06</v>
      </c>
      <c r="B33" s="9" t="str">
        <v>Phase 7: Launch and learn</v>
      </c>
      <c r="C33" s="9" t="str">
        <v>Step 6</v>
      </c>
      <c r="D33" s="10" t="str">
        <v>Update version notes and notify customers when material changes are made.</v>
      </c>
      <c r="E33" s="9" t="str">
        <v>Pending</v>
      </c>
      <c r="F33" s="11">
        <v>0</v>
      </c>
      <c r="G33" s="12" t="str">
        <v>Not yet confirmed as complete. Update this task in the Task Register as work progresses.</v>
      </c>
      <c r="H33" s="2">
        <v>1</v>
      </c>
    </row>
    <row r="34" spans="1:8" x14ac:dyDescent="0.3">
      <c r="A34" s="13" t="str">
        <v>P7-S07</v>
      </c>
      <c r="B34" s="14" t="str">
        <v>Phase 7: Launch and learn</v>
      </c>
      <c r="C34" s="14" t="str">
        <v>Step 7</v>
      </c>
      <c r="D34" s="15" t="str">
        <v>Decide whether to improve the first toolkit, build the next individual toolkit, or create a bundle.</v>
      </c>
      <c r="E34" s="14" t="str">
        <v>Pending</v>
      </c>
      <c r="F34" s="16">
        <v>0</v>
      </c>
      <c r="G34" s="17" t="str">
        <v>Not yet confirmed as complete. Update this task in the Task Register as work progresses.</v>
      </c>
      <c r="H34" s="2">
        <v>1</v>
      </c>
    </row>
    <row r="35" spans="1:8" x14ac:dyDescent="0.3">
      <c r="A35" s="8"/>
      <c r="B35" s="9"/>
      <c r="C35" s="9"/>
      <c r="D35" s="10"/>
      <c r="E35" s="9"/>
      <c r="F35" s="11"/>
      <c r="G35" s="12"/>
    </row>
    <row r="36" spans="1:8" x14ac:dyDescent="0.3">
      <c r="A36" s="13"/>
      <c r="B36" s="14"/>
      <c r="C36" s="14"/>
      <c r="D36" s="15"/>
      <c r="E36" s="14"/>
      <c r="F36" s="16"/>
      <c r="G36" s="17"/>
    </row>
    <row r="37" spans="1:8" x14ac:dyDescent="0.3">
      <c r="A37" s="8"/>
      <c r="B37" s="9"/>
      <c r="C37" s="9"/>
      <c r="D37" s="10"/>
      <c r="E37" s="9"/>
      <c r="F37" s="11"/>
      <c r="G37" s="12"/>
    </row>
    <row r="38" spans="1:8" x14ac:dyDescent="0.3">
      <c r="A38" s="13"/>
      <c r="B38" s="14"/>
      <c r="C38" s="14"/>
      <c r="D38" s="15"/>
      <c r="E38" s="14"/>
      <c r="F38" s="16"/>
      <c r="G38" s="17"/>
    </row>
    <row r="39" spans="1:8" x14ac:dyDescent="0.3">
      <c r="A39" s="8"/>
      <c r="B39" s="9"/>
      <c r="C39" s="9"/>
      <c r="D39" s="10"/>
      <c r="E39" s="9"/>
      <c r="F39" s="11"/>
      <c r="G39" s="12"/>
    </row>
    <row r="40" spans="1:8" x14ac:dyDescent="0.3">
      <c r="A40" s="13"/>
      <c r="B40" s="14"/>
      <c r="C40" s="14"/>
      <c r="D40" s="15"/>
      <c r="E40" s="14"/>
      <c r="F40" s="16"/>
      <c r="G40" s="17"/>
    </row>
    <row r="41" spans="1:8" x14ac:dyDescent="0.3">
      <c r="A41" s="8"/>
      <c r="B41" s="9"/>
      <c r="C41" s="9"/>
      <c r="D41" s="10"/>
      <c r="E41" s="9"/>
      <c r="F41" s="11"/>
      <c r="G41" s="12"/>
    </row>
    <row r="42" spans="1:8" x14ac:dyDescent="0.3">
      <c r="A42" s="13"/>
      <c r="B42" s="14"/>
      <c r="C42" s="14"/>
      <c r="D42" s="15"/>
      <c r="E42" s="14"/>
      <c r="F42" s="16"/>
      <c r="G42" s="17"/>
    </row>
    <row r="43" spans="1:8" x14ac:dyDescent="0.3">
      <c r="A43" s="8"/>
      <c r="B43" s="9"/>
      <c r="C43" s="9"/>
      <c r="D43" s="10"/>
      <c r="E43" s="9"/>
      <c r="F43" s="11"/>
      <c r="G43" s="12"/>
    </row>
    <row r="44" spans="1:8" x14ac:dyDescent="0.3">
      <c r="A44" s="13"/>
      <c r="B44" s="14"/>
      <c r="C44" s="14"/>
      <c r="D44" s="15"/>
      <c r="E44" s="14"/>
      <c r="F44" s="16"/>
      <c r="G44" s="17"/>
    </row>
    <row r="45" spans="1:8" x14ac:dyDescent="0.3">
      <c r="A45" s="5"/>
      <c r="B45" s="6"/>
      <c r="C45" s="6"/>
      <c r="D45" s="18"/>
      <c r="E45" s="6"/>
      <c r="F45" s="19"/>
      <c r="G45" s="20"/>
    </row>
  </sheetData>
  <mergeCells count="2">
    <mergeCell ref="A1:G1"/>
    <mergeCell ref="A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6DFC-9DAE-49E1-8C6E-65C46D2C9AF7}">
  <dimension ref="A1:H7"/>
  <sheetViews>
    <sheetView workbookViewId="0"/>
  </sheetViews>
  <sheetFormatPr defaultRowHeight="14.4" x14ac:dyDescent="0.3"/>
  <cols>
    <col min="1" max="1" width="15.77734375" customWidth="1"/>
    <col min="2" max="2" width="40.77734375" customWidth="1"/>
    <col min="3" max="3" width="18.77734375" customWidth="1"/>
    <col min="4" max="4" width="100.77734375" style="1" customWidth="1"/>
    <col min="5" max="5" width="15.77734375" customWidth="1"/>
    <col min="6" max="6" width="12.77734375" style="2" customWidth="1"/>
    <col min="7" max="7" width="85.77734375" style="1" customWidth="1"/>
    <col min="8" max="8" width="14.77734375" style="2" customWidth="1"/>
  </cols>
  <sheetData>
    <row r="1" spans="1:8" ht="21" x14ac:dyDescent="0.4">
      <c r="A1" s="40" t="s">
        <v>138</v>
      </c>
      <c r="B1" s="38"/>
      <c r="C1" s="38"/>
      <c r="D1" s="38"/>
      <c r="E1" s="38"/>
      <c r="F1" s="38"/>
      <c r="G1" s="38"/>
    </row>
    <row r="2" spans="1:8" ht="30" customHeight="1" x14ac:dyDescent="0.3">
      <c r="A2" s="35" t="s">
        <v>148</v>
      </c>
      <c r="B2" s="35"/>
      <c r="C2" s="35"/>
      <c r="D2" s="35"/>
      <c r="E2" s="35"/>
      <c r="F2" s="35"/>
      <c r="G2" s="35"/>
    </row>
    <row r="3" spans="1:8" x14ac:dyDescent="0.3">
      <c r="A3" t="s">
        <v>130</v>
      </c>
      <c r="B3">
        <f>IFERROR(ROWS(_xlfn.ANCHORARRAY(A5)),0)</f>
        <v>3</v>
      </c>
      <c r="D3" s="1" t="s">
        <v>147</v>
      </c>
      <c r="E3" s="2">
        <f>IFERROR(AVERAGE(_xlfn.ANCHORARRAY(H5)),0)</f>
        <v>0</v>
      </c>
    </row>
    <row r="4" spans="1:8" x14ac:dyDescent="0.3">
      <c r="A4" s="21" t="s">
        <v>0</v>
      </c>
      <c r="B4" s="22" t="s">
        <v>1</v>
      </c>
      <c r="C4" s="22" t="s">
        <v>2</v>
      </c>
      <c r="D4" s="23" t="s">
        <v>3</v>
      </c>
      <c r="E4" s="22" t="s">
        <v>4</v>
      </c>
      <c r="F4" s="24" t="s">
        <v>5</v>
      </c>
      <c r="G4" s="25" t="s">
        <v>6</v>
      </c>
      <c r="H4" s="26" t="s">
        <v>146</v>
      </c>
    </row>
    <row r="5" spans="1:8" x14ac:dyDescent="0.3">
      <c r="A5" s="8" t="str" cm="1">
        <f t="array" ref="A5:G7">_xlfn._xlws.FILTER('Task Register'!A2:G1001,'Task Register'!E2:E1001="Completed","")</f>
        <v>SETUP-01</v>
      </c>
      <c r="B5" s="9" t="str">
        <v>Project setup</v>
      </c>
      <c r="C5" s="9" t="str">
        <v>Completed deliverable</v>
      </c>
      <c r="D5" s="10" t="str">
        <v>Create the detailed seven-phase project plan and Microsoft Project-compatible schedule.</v>
      </c>
      <c r="E5" s="9" t="str">
        <v>Completed</v>
      </c>
      <c r="F5" s="11">
        <v>1</v>
      </c>
      <c r="G5" s="12" t="str">
        <v>The plan and schedule have been created; this workbook provides the step-by-step status tracker.</v>
      </c>
      <c r="H5" s="2" cm="1">
        <f t="array" ref="H5:H7">_xlfn._xlws.FILTER('Task Register'!H2:H1001,'Task Register'!E2:E1001="Completed","")</f>
        <v>0</v>
      </c>
    </row>
    <row r="6" spans="1:8" ht="57.6" x14ac:dyDescent="0.3">
      <c r="A6" s="13" t="str">
        <v>P1-S01</v>
      </c>
      <c r="B6" s="14" t="str">
        <v>Phase 1: Choose and validate the customer problem</v>
      </c>
      <c r="C6" s="14" t="str">
        <v>Step 1</v>
      </c>
      <c r="D6" s="15" t="str">
        <v>List the likely customer roles for the Application Review Kit, such as application security engineers and software teams.</v>
      </c>
      <c r="E6" s="14" t="str">
        <v>Completed</v>
      </c>
      <c r="F6" s="16">
        <v>1</v>
      </c>
      <c r="G6" s="17" t="str">
        <v>Role list created. Primary audience selected: AppSec engineer/reviewer at a small software team. Other likely roles: software engineering lead/tech lead doing self-reviews; independent application-security consultant; AppSec/product-security lead at a larger company. Treat all as hypotheses pending customer conversations.</v>
      </c>
      <c r="H6" s="2">
        <v>0</v>
      </c>
    </row>
    <row r="7" spans="1:8" x14ac:dyDescent="0.3">
      <c r="A7" s="5" t="str">
        <v>P6-S03</v>
      </c>
      <c r="B7" s="6" t="str">
        <v>Phase 6: Update and test the website</v>
      </c>
      <c r="C7" s="6" t="str">
        <v>Step 3</v>
      </c>
      <c r="D7" s="18" t="str">
        <v>Make product previews clearly distinguish illustrative examples from actual downloadable deliverables.</v>
      </c>
      <c r="E7" s="6" t="str">
        <v>Completed</v>
      </c>
      <c r="F7" s="19">
        <v>1</v>
      </c>
      <c r="G7" s="20" t="str">
        <v>Previews are labeled as illustrative concepts, not downloadable products.</v>
      </c>
      <c r="H7" s="2">
        <v>0</v>
      </c>
    </row>
  </sheetData>
  <mergeCells count="2">
    <mergeCell ref="A1:G1"/>
    <mergeCell ref="A2:G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BBAE-743A-40B6-B6C8-CBAAB99481E3}">
  <dimension ref="A1:K30"/>
  <sheetViews>
    <sheetView workbookViewId="0"/>
  </sheetViews>
  <sheetFormatPr defaultRowHeight="14.4" x14ac:dyDescent="0.3"/>
  <cols>
    <col min="1" max="1" width="43.21875" bestFit="1" customWidth="1"/>
    <col min="2" max="4" width="9.77734375" bestFit="1" customWidth="1"/>
    <col min="5" max="5" width="10.21875" bestFit="1" customWidth="1"/>
    <col min="6" max="6" width="22.77734375" customWidth="1"/>
    <col min="10" max="10" width="10.5546875" bestFit="1" customWidth="1"/>
    <col min="11" max="11" width="9.77734375" bestFit="1" customWidth="1"/>
  </cols>
  <sheetData>
    <row r="1" spans="1:11" ht="23.4" x14ac:dyDescent="0.45">
      <c r="A1" s="37" t="s">
        <v>141</v>
      </c>
      <c r="B1" s="38"/>
      <c r="C1" s="38"/>
      <c r="D1" s="38"/>
      <c r="E1" s="38"/>
      <c r="F1" s="38"/>
      <c r="G1" s="38"/>
      <c r="H1" s="38"/>
    </row>
    <row r="2" spans="1:11" x14ac:dyDescent="0.3">
      <c r="A2" s="39" t="s">
        <v>142</v>
      </c>
      <c r="B2" s="39"/>
      <c r="C2" s="39"/>
      <c r="D2" s="39"/>
      <c r="E2" s="39"/>
      <c r="F2" s="39"/>
      <c r="G2" s="39"/>
      <c r="H2" s="39"/>
    </row>
    <row r="4" spans="1:11" x14ac:dyDescent="0.3">
      <c r="A4" s="4" t="s">
        <v>144</v>
      </c>
      <c r="B4" s="4" t="s">
        <v>4</v>
      </c>
      <c r="J4" s="4" t="s">
        <v>4</v>
      </c>
      <c r="K4" t="s">
        <v>144</v>
      </c>
    </row>
    <row r="5" spans="1:11" x14ac:dyDescent="0.3">
      <c r="A5" s="4" t="s">
        <v>1</v>
      </c>
      <c r="B5" t="s">
        <v>11</v>
      </c>
      <c r="C5" t="s">
        <v>95</v>
      </c>
      <c r="D5" t="s">
        <v>17</v>
      </c>
      <c r="E5" t="s">
        <v>143</v>
      </c>
      <c r="J5" t="s">
        <v>11</v>
      </c>
      <c r="K5" s="46">
        <v>3</v>
      </c>
    </row>
    <row r="6" spans="1:11" x14ac:dyDescent="0.3">
      <c r="A6" t="s">
        <v>14</v>
      </c>
      <c r="B6" s="46">
        <v>1</v>
      </c>
      <c r="C6" s="46">
        <v>5</v>
      </c>
      <c r="D6" s="46"/>
      <c r="E6" s="46">
        <v>6</v>
      </c>
      <c r="J6" t="s">
        <v>95</v>
      </c>
      <c r="K6" s="46">
        <v>14</v>
      </c>
    </row>
    <row r="7" spans="1:11" x14ac:dyDescent="0.3">
      <c r="A7" t="s">
        <v>35</v>
      </c>
      <c r="B7" s="46"/>
      <c r="C7" s="46">
        <v>5</v>
      </c>
      <c r="D7" s="46">
        <v>1</v>
      </c>
      <c r="E7" s="46">
        <v>6</v>
      </c>
      <c r="J7" t="s">
        <v>17</v>
      </c>
      <c r="K7" s="46">
        <v>30</v>
      </c>
    </row>
    <row r="8" spans="1:11" x14ac:dyDescent="0.3">
      <c r="A8" t="s">
        <v>48</v>
      </c>
      <c r="B8" s="46"/>
      <c r="C8" s="46"/>
      <c r="D8" s="46">
        <v>7</v>
      </c>
      <c r="E8" s="46">
        <v>7</v>
      </c>
      <c r="J8" t="s">
        <v>143</v>
      </c>
      <c r="K8" s="46">
        <v>47</v>
      </c>
    </row>
    <row r="9" spans="1:11" x14ac:dyDescent="0.3">
      <c r="A9" t="s">
        <v>64</v>
      </c>
      <c r="B9" s="46"/>
      <c r="C9" s="46"/>
      <c r="D9" s="46">
        <v>6</v>
      </c>
      <c r="E9" s="46">
        <v>6</v>
      </c>
    </row>
    <row r="10" spans="1:11" x14ac:dyDescent="0.3">
      <c r="A10" t="s">
        <v>77</v>
      </c>
      <c r="B10" s="46"/>
      <c r="C10" s="46"/>
      <c r="D10" s="46">
        <v>6</v>
      </c>
      <c r="E10" s="46">
        <v>6</v>
      </c>
    </row>
    <row r="11" spans="1:11" x14ac:dyDescent="0.3">
      <c r="A11" t="s">
        <v>91</v>
      </c>
      <c r="B11" s="46">
        <v>1</v>
      </c>
      <c r="C11" s="46">
        <v>4</v>
      </c>
      <c r="D11" s="46">
        <v>3</v>
      </c>
      <c r="E11" s="46">
        <v>8</v>
      </c>
    </row>
    <row r="12" spans="1:11" x14ac:dyDescent="0.3">
      <c r="A12" t="s">
        <v>114</v>
      </c>
      <c r="B12" s="46"/>
      <c r="C12" s="46"/>
      <c r="D12" s="46">
        <v>7</v>
      </c>
      <c r="E12" s="46">
        <v>7</v>
      </c>
    </row>
    <row r="13" spans="1:11" x14ac:dyDescent="0.3">
      <c r="A13" t="s">
        <v>8</v>
      </c>
      <c r="B13" s="46">
        <v>1</v>
      </c>
      <c r="C13" s="46"/>
      <c r="D13" s="46"/>
      <c r="E13" s="46">
        <v>1</v>
      </c>
    </row>
    <row r="14" spans="1:11" x14ac:dyDescent="0.3">
      <c r="A14" t="s">
        <v>143</v>
      </c>
      <c r="B14" s="46">
        <v>3</v>
      </c>
      <c r="C14" s="46">
        <v>14</v>
      </c>
      <c r="D14" s="46">
        <v>30</v>
      </c>
      <c r="E14" s="46">
        <v>47</v>
      </c>
    </row>
    <row r="18" spans="1:6" ht="18" x14ac:dyDescent="0.35">
      <c r="A18" s="41" t="s">
        <v>151</v>
      </c>
      <c r="B18" s="38"/>
      <c r="C18" s="38"/>
      <c r="D18" s="38"/>
      <c r="E18" s="38"/>
      <c r="F18" s="38"/>
    </row>
    <row r="19" spans="1:6" x14ac:dyDescent="0.3">
      <c r="A19" s="3" t="s">
        <v>1</v>
      </c>
      <c r="B19" s="3" t="s">
        <v>11</v>
      </c>
      <c r="C19" s="3" t="s">
        <v>95</v>
      </c>
      <c r="D19" s="3" t="s">
        <v>17</v>
      </c>
      <c r="E19" s="3" t="s">
        <v>152</v>
      </c>
      <c r="F19" s="3" t="s">
        <v>147</v>
      </c>
    </row>
    <row r="20" spans="1:6" x14ac:dyDescent="0.3">
      <c r="A20" t="s">
        <v>8</v>
      </c>
      <c r="B20">
        <f>COUNTIFS('Task Register'!B2:B1001,A20,'Task Register'!E2:E1001,B$19)</f>
        <v>1</v>
      </c>
      <c r="C20">
        <f>COUNTIFS('Task Register'!B2:B1001,A20,'Task Register'!E2:E1001,C$19)</f>
        <v>0</v>
      </c>
      <c r="D20">
        <f>COUNTIFS('Task Register'!B2:B1001,A20,'Task Register'!E2:E1001,D$19)</f>
        <v>0</v>
      </c>
      <c r="E20">
        <f t="shared" ref="E20:E27" si="0">SUM(B20)</f>
        <v>1</v>
      </c>
      <c r="F20" s="2">
        <f>IFERROR(AVERAGEIFS('Task Register'!H2:H1001,'Task Register'!B2:B1001,A20),0)</f>
        <v>0</v>
      </c>
    </row>
    <row r="21" spans="1:6" x14ac:dyDescent="0.3">
      <c r="A21" t="s">
        <v>14</v>
      </c>
      <c r="B21">
        <f>COUNTIFS('Task Register'!B2:B1001,A21,'Task Register'!E2:E1001,B$19)</f>
        <v>1</v>
      </c>
      <c r="C21">
        <f>COUNTIFS('Task Register'!B2:B1001,A21,'Task Register'!E2:E1001,C$19)</f>
        <v>5</v>
      </c>
      <c r="D21">
        <f>COUNTIFS('Task Register'!B2:B1001,A21,'Task Register'!E2:E1001,D$19)</f>
        <v>0</v>
      </c>
      <c r="E21">
        <f t="shared" si="0"/>
        <v>1</v>
      </c>
      <c r="F21" s="2">
        <f>IFERROR(AVERAGEIFS('Task Register'!H2:H1001,'Task Register'!B2:B1001,A21),0)</f>
        <v>0.68333333333333324</v>
      </c>
    </row>
    <row r="22" spans="1:6" x14ac:dyDescent="0.3">
      <c r="A22" t="s">
        <v>35</v>
      </c>
      <c r="B22">
        <f>COUNTIFS('Task Register'!B2:B1001,A22,'Task Register'!E2:E1001,B$19)</f>
        <v>0</v>
      </c>
      <c r="C22">
        <f>COUNTIFS('Task Register'!B2:B1001,A22,'Task Register'!E2:E1001,C$19)</f>
        <v>5</v>
      </c>
      <c r="D22">
        <f>COUNTIFS('Task Register'!B2:B1001,A22,'Task Register'!E2:E1001,D$19)</f>
        <v>1</v>
      </c>
      <c r="E22">
        <f t="shared" si="0"/>
        <v>0</v>
      </c>
      <c r="F22" s="2">
        <f>IFERROR(AVERAGEIFS('Task Register'!H2:H1001,'Task Register'!B2:B1001,A22),0)</f>
        <v>0.79166666666666663</v>
      </c>
    </row>
    <row r="23" spans="1:6" x14ac:dyDescent="0.3">
      <c r="A23" t="s">
        <v>48</v>
      </c>
      <c r="B23">
        <f>COUNTIFS('Task Register'!B2:B1001,A23,'Task Register'!E2:E1001,B$19)</f>
        <v>0</v>
      </c>
      <c r="C23">
        <f>COUNTIFS('Task Register'!B2:B1001,A23,'Task Register'!E2:E1001,C$19)</f>
        <v>0</v>
      </c>
      <c r="D23">
        <f>COUNTIFS('Task Register'!B2:B1001,A23,'Task Register'!E2:E1001,D$19)</f>
        <v>7</v>
      </c>
      <c r="E23">
        <f t="shared" si="0"/>
        <v>0</v>
      </c>
      <c r="F23" s="2">
        <f>IFERROR(AVERAGEIFS('Task Register'!H2:H1001,'Task Register'!B2:B1001,A23),0)</f>
        <v>1</v>
      </c>
    </row>
    <row r="24" spans="1:6" x14ac:dyDescent="0.3">
      <c r="A24" t="s">
        <v>64</v>
      </c>
      <c r="B24">
        <f>COUNTIFS('Task Register'!B2:B1001,A24,'Task Register'!E2:E1001,B$19)</f>
        <v>0</v>
      </c>
      <c r="C24">
        <f>COUNTIFS('Task Register'!B2:B1001,A24,'Task Register'!E2:E1001,C$19)</f>
        <v>0</v>
      </c>
      <c r="D24">
        <f>COUNTIFS('Task Register'!B2:B1001,A24,'Task Register'!E2:E1001,D$19)</f>
        <v>6</v>
      </c>
      <c r="E24">
        <f t="shared" si="0"/>
        <v>0</v>
      </c>
      <c r="F24" s="2">
        <f>IFERROR(AVERAGEIFS('Task Register'!H2:H1001,'Task Register'!B2:B1001,A24),0)</f>
        <v>1</v>
      </c>
    </row>
    <row r="25" spans="1:6" x14ac:dyDescent="0.3">
      <c r="A25" t="s">
        <v>77</v>
      </c>
      <c r="B25">
        <f>COUNTIFS('Task Register'!B2:B1001,A25,'Task Register'!E2:E1001,B$19)</f>
        <v>0</v>
      </c>
      <c r="C25">
        <f>COUNTIFS('Task Register'!B2:B1001,A25,'Task Register'!E2:E1001,C$19)</f>
        <v>0</v>
      </c>
      <c r="D25">
        <f>COUNTIFS('Task Register'!B2:B1001,A25,'Task Register'!E2:E1001,D$19)</f>
        <v>6</v>
      </c>
      <c r="E25">
        <f t="shared" si="0"/>
        <v>0</v>
      </c>
      <c r="F25" s="2">
        <f>IFERROR(AVERAGEIFS('Task Register'!H2:H1001,'Task Register'!B2:B1001,A25),0)</f>
        <v>1</v>
      </c>
    </row>
    <row r="26" spans="1:6" x14ac:dyDescent="0.3">
      <c r="A26" t="s">
        <v>91</v>
      </c>
      <c r="B26">
        <f>COUNTIFS('Task Register'!B2:B1001,A26,'Task Register'!E2:E1001,B$19)</f>
        <v>1</v>
      </c>
      <c r="C26">
        <f>COUNTIFS('Task Register'!B2:B1001,A26,'Task Register'!E2:E1001,C$19)</f>
        <v>4</v>
      </c>
      <c r="D26">
        <f>COUNTIFS('Task Register'!B2:B1001,A26,'Task Register'!E2:E1001,D$19)</f>
        <v>3</v>
      </c>
      <c r="E26">
        <f t="shared" si="0"/>
        <v>1</v>
      </c>
      <c r="F26" s="2">
        <f>IFERROR(AVERAGEIFS('Task Register'!H2:H1001,'Task Register'!B2:B1001,A26),0)</f>
        <v>0.66249999999999998</v>
      </c>
    </row>
    <row r="27" spans="1:6" x14ac:dyDescent="0.3">
      <c r="A27" t="s">
        <v>114</v>
      </c>
      <c r="B27">
        <f>COUNTIFS('Task Register'!B2:B1001,A27,'Task Register'!E2:E1001,B$19)</f>
        <v>0</v>
      </c>
      <c r="C27">
        <f>COUNTIFS('Task Register'!B2:B1001,A27,'Task Register'!E2:E1001,C$19)</f>
        <v>0</v>
      </c>
      <c r="D27">
        <f>COUNTIFS('Task Register'!B2:B1001,A27,'Task Register'!E2:E1001,D$19)</f>
        <v>7</v>
      </c>
      <c r="E27">
        <f t="shared" si="0"/>
        <v>0</v>
      </c>
      <c r="F27" s="2">
        <f>IFERROR(AVERAGEIFS('Task Register'!H2:H1001,'Task Register'!B2:B1001,A27),0)</f>
        <v>1</v>
      </c>
    </row>
    <row r="28" spans="1:6" x14ac:dyDescent="0.3">
      <c r="A28" s="27" t="s">
        <v>153</v>
      </c>
      <c r="B28">
        <f>SUM(B20:B27)</f>
        <v>3</v>
      </c>
      <c r="C28">
        <f>SUM(C20:C27)</f>
        <v>14</v>
      </c>
      <c r="D28">
        <f>SUM(D20:D27)</f>
        <v>30</v>
      </c>
      <c r="E28">
        <f>SUM(E20:E27)</f>
        <v>3</v>
      </c>
      <c r="F28" s="2">
        <f>IFERROR(AVERAGE('Task Register'!H2:H1001),0)</f>
        <v>0.85425531914893615</v>
      </c>
    </row>
    <row r="30" spans="1:6" ht="31.95" customHeight="1" x14ac:dyDescent="0.3">
      <c r="A30" s="35" t="s">
        <v>154</v>
      </c>
      <c r="B30" s="35"/>
      <c r="C30" s="35"/>
      <c r="D30" s="35"/>
      <c r="E30" s="35"/>
      <c r="F30" s="35"/>
    </row>
  </sheetData>
  <mergeCells count="4">
    <mergeCell ref="A1:H1"/>
    <mergeCell ref="A2:H2"/>
    <mergeCell ref="A18:F18"/>
    <mergeCell ref="A30:F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6B4B-7D55-44F6-8C41-C9666BCD47EA}">
  <dimension ref="A1:H48"/>
  <sheetViews>
    <sheetView workbookViewId="0"/>
  </sheetViews>
  <sheetFormatPr defaultRowHeight="14.4" x14ac:dyDescent="0.3"/>
  <cols>
    <col min="1" max="1" width="15.77734375" customWidth="1"/>
    <col min="2" max="2" width="40.77734375" customWidth="1"/>
    <col min="3" max="3" width="18.77734375" customWidth="1"/>
    <col min="4" max="4" width="100.77734375" style="1" customWidth="1"/>
    <col min="5" max="5" width="15.77734375" customWidth="1"/>
    <col min="6" max="6" width="12.77734375" style="2" customWidth="1"/>
    <col min="7" max="7" width="85.77734375" style="1" customWidth="1"/>
    <col min="8" max="8" width="14.77734375" style="2" customWidth="1"/>
  </cols>
  <sheetData>
    <row r="1" spans="1:8" ht="28.8" x14ac:dyDescent="0.3">
      <c r="A1" t="s">
        <v>0</v>
      </c>
      <c r="B1" t="s">
        <v>1</v>
      </c>
      <c r="C1" t="s">
        <v>2</v>
      </c>
      <c r="D1" s="1" t="s">
        <v>3</v>
      </c>
      <c r="E1" t="s">
        <v>4</v>
      </c>
      <c r="F1" s="2" t="s">
        <v>5</v>
      </c>
      <c r="G1" s="1" t="s">
        <v>6</v>
      </c>
      <c r="H1" s="7" t="s">
        <v>146</v>
      </c>
    </row>
    <row r="2" spans="1:8" x14ac:dyDescent="0.3">
      <c r="A2" t="s">
        <v>7</v>
      </c>
      <c r="B2" t="s">
        <v>8</v>
      </c>
      <c r="C2" t="s">
        <v>9</v>
      </c>
      <c r="D2" s="1" t="s">
        <v>10</v>
      </c>
      <c r="E2" t="s">
        <v>11</v>
      </c>
      <c r="F2" s="2">
        <v>1</v>
      </c>
      <c r="G2" s="1" t="s">
        <v>12</v>
      </c>
      <c r="H2" s="7">
        <f>1-ProjectTaskRegister[[#This Row],[Progress]]</f>
        <v>0</v>
      </c>
    </row>
    <row r="3" spans="1:8" ht="57.6" x14ac:dyDescent="0.3">
      <c r="A3" t="s">
        <v>13</v>
      </c>
      <c r="B3" t="s">
        <v>14</v>
      </c>
      <c r="C3" t="s">
        <v>15</v>
      </c>
      <c r="D3" s="1" t="s">
        <v>16</v>
      </c>
      <c r="E3" t="s">
        <v>11</v>
      </c>
      <c r="F3" s="2">
        <v>1</v>
      </c>
      <c r="G3" s="1" t="s">
        <v>145</v>
      </c>
      <c r="H3" s="7">
        <f>1-ProjectTaskRegister[[#This Row],[Progress]]</f>
        <v>0</v>
      </c>
    </row>
    <row r="4" spans="1:8" ht="43.2" x14ac:dyDescent="0.3">
      <c r="A4" t="s">
        <v>19</v>
      </c>
      <c r="B4" t="s">
        <v>14</v>
      </c>
      <c r="C4" t="s">
        <v>20</v>
      </c>
      <c r="D4" s="1" t="s">
        <v>21</v>
      </c>
      <c r="E4" t="s">
        <v>95</v>
      </c>
      <c r="F4" s="2">
        <v>0.5</v>
      </c>
      <c r="G4" s="1" t="s">
        <v>155</v>
      </c>
      <c r="H4" s="7">
        <f>1-ProjectTaskRegister[[#This Row],[Progress]]</f>
        <v>0.5</v>
      </c>
    </row>
    <row r="5" spans="1:8" ht="43.2" x14ac:dyDescent="0.3">
      <c r="A5" t="s">
        <v>22</v>
      </c>
      <c r="B5" t="s">
        <v>14</v>
      </c>
      <c r="C5" t="s">
        <v>23</v>
      </c>
      <c r="D5" s="1" t="s">
        <v>24</v>
      </c>
      <c r="E5" t="s">
        <v>95</v>
      </c>
      <c r="F5" s="2">
        <v>0.1</v>
      </c>
      <c r="G5" s="1" t="s">
        <v>156</v>
      </c>
      <c r="H5" s="7">
        <f>1-ProjectTaskRegister[[#This Row],[Progress]]</f>
        <v>0.9</v>
      </c>
    </row>
    <row r="6" spans="1:8" ht="43.2" x14ac:dyDescent="0.3">
      <c r="A6" t="s">
        <v>25</v>
      </c>
      <c r="B6" t="s">
        <v>14</v>
      </c>
      <c r="C6" t="s">
        <v>26</v>
      </c>
      <c r="D6" s="1" t="s">
        <v>27</v>
      </c>
      <c r="E6" t="s">
        <v>95</v>
      </c>
      <c r="F6" s="2">
        <v>0.1</v>
      </c>
      <c r="G6" s="1" t="s">
        <v>187</v>
      </c>
      <c r="H6" s="7">
        <f>1-ProjectTaskRegister[[#This Row],[Progress]]</f>
        <v>0.9</v>
      </c>
    </row>
    <row r="7" spans="1:8" ht="43.2" x14ac:dyDescent="0.3">
      <c r="A7" t="s">
        <v>28</v>
      </c>
      <c r="B7" t="s">
        <v>14</v>
      </c>
      <c r="C7" t="s">
        <v>29</v>
      </c>
      <c r="D7" s="1" t="s">
        <v>30</v>
      </c>
      <c r="E7" t="s">
        <v>95</v>
      </c>
      <c r="F7" s="2">
        <v>0.1</v>
      </c>
      <c r="G7" s="1" t="s">
        <v>471</v>
      </c>
      <c r="H7" s="7">
        <f>1-ProjectTaskRegister[[#This Row],[Progress]]</f>
        <v>0.9</v>
      </c>
    </row>
    <row r="8" spans="1:8" ht="43.2" x14ac:dyDescent="0.3">
      <c r="A8" t="s">
        <v>31</v>
      </c>
      <c r="B8" t="s">
        <v>14</v>
      </c>
      <c r="C8" t="s">
        <v>32</v>
      </c>
      <c r="D8" s="1" t="s">
        <v>33</v>
      </c>
      <c r="E8" t="s">
        <v>95</v>
      </c>
      <c r="F8" s="2">
        <v>0.1</v>
      </c>
      <c r="G8" s="1" t="s">
        <v>219</v>
      </c>
      <c r="H8" s="7">
        <f>1-ProjectTaskRegister[[#This Row],[Progress]]</f>
        <v>0.9</v>
      </c>
    </row>
    <row r="9" spans="1:8" ht="28.8" x14ac:dyDescent="0.3">
      <c r="A9" t="s">
        <v>34</v>
      </c>
      <c r="B9" t="s">
        <v>35</v>
      </c>
      <c r="C9" t="s">
        <v>15</v>
      </c>
      <c r="D9" s="1" t="s">
        <v>36</v>
      </c>
      <c r="E9" t="s">
        <v>95</v>
      </c>
      <c r="F9" s="2">
        <v>0.25</v>
      </c>
      <c r="G9" s="1" t="s">
        <v>213</v>
      </c>
      <c r="H9" s="7">
        <f>1-ProjectTaskRegister[[#This Row],[Progress]]</f>
        <v>0.75</v>
      </c>
    </row>
    <row r="10" spans="1:8" ht="28.8" x14ac:dyDescent="0.3">
      <c r="A10" t="s">
        <v>37</v>
      </c>
      <c r="B10" t="s">
        <v>35</v>
      </c>
      <c r="C10" t="s">
        <v>20</v>
      </c>
      <c r="D10" s="1" t="s">
        <v>38</v>
      </c>
      <c r="E10" t="s">
        <v>95</v>
      </c>
      <c r="F10" s="2">
        <v>0.25</v>
      </c>
      <c r="G10" s="1" t="s">
        <v>214</v>
      </c>
      <c r="H10" s="7">
        <f>1-ProjectTaskRegister[[#This Row],[Progress]]</f>
        <v>0.75</v>
      </c>
    </row>
    <row r="11" spans="1:8" ht="43.2" x14ac:dyDescent="0.3">
      <c r="A11" t="s">
        <v>39</v>
      </c>
      <c r="B11" t="s">
        <v>35</v>
      </c>
      <c r="C11" t="s">
        <v>23</v>
      </c>
      <c r="D11" s="1" t="s">
        <v>40</v>
      </c>
      <c r="E11" t="s">
        <v>95</v>
      </c>
      <c r="F11" s="2">
        <v>0.25</v>
      </c>
      <c r="G11" s="1" t="s">
        <v>218</v>
      </c>
      <c r="H11" s="7">
        <f>1-ProjectTaskRegister[[#This Row],[Progress]]</f>
        <v>0.75</v>
      </c>
    </row>
    <row r="12" spans="1:8" ht="28.8" x14ac:dyDescent="0.3">
      <c r="A12" t="s">
        <v>41</v>
      </c>
      <c r="B12" t="s">
        <v>35</v>
      </c>
      <c r="C12" t="s">
        <v>26</v>
      </c>
      <c r="D12" s="1" t="s">
        <v>42</v>
      </c>
      <c r="E12" t="s">
        <v>95</v>
      </c>
      <c r="F12" s="2">
        <v>0.3</v>
      </c>
      <c r="G12" s="1" t="s">
        <v>215</v>
      </c>
      <c r="H12" s="7">
        <f>1-ProjectTaskRegister[[#This Row],[Progress]]</f>
        <v>0.7</v>
      </c>
    </row>
    <row r="13" spans="1:8" x14ac:dyDescent="0.3">
      <c r="A13" t="s">
        <v>43</v>
      </c>
      <c r="B13" t="s">
        <v>35</v>
      </c>
      <c r="C13" t="s">
        <v>29</v>
      </c>
      <c r="D13" s="1" t="s">
        <v>44</v>
      </c>
      <c r="E13" t="s">
        <v>17</v>
      </c>
      <c r="F13" s="2">
        <v>0</v>
      </c>
      <c r="G13" s="1" t="s">
        <v>18</v>
      </c>
      <c r="H13" s="7">
        <f>1-ProjectTaskRegister[[#This Row],[Progress]]</f>
        <v>1</v>
      </c>
    </row>
    <row r="14" spans="1:8" ht="43.2" x14ac:dyDescent="0.3">
      <c r="A14" t="s">
        <v>45</v>
      </c>
      <c r="B14" t="s">
        <v>35</v>
      </c>
      <c r="C14" t="s">
        <v>32</v>
      </c>
      <c r="D14" s="1" t="s">
        <v>46</v>
      </c>
      <c r="E14" t="s">
        <v>95</v>
      </c>
      <c r="F14" s="2">
        <v>0.2</v>
      </c>
      <c r="G14" s="1" t="s">
        <v>216</v>
      </c>
      <c r="H14" s="7">
        <f>1-ProjectTaskRegister[[#This Row],[Progress]]</f>
        <v>0.8</v>
      </c>
    </row>
    <row r="15" spans="1:8" x14ac:dyDescent="0.3">
      <c r="A15" t="s">
        <v>47</v>
      </c>
      <c r="B15" t="s">
        <v>48</v>
      </c>
      <c r="C15" t="s">
        <v>15</v>
      </c>
      <c r="D15" s="1" t="s">
        <v>49</v>
      </c>
      <c r="E15" t="s">
        <v>17</v>
      </c>
      <c r="F15" s="2">
        <v>0</v>
      </c>
      <c r="G15" s="1" t="s">
        <v>18</v>
      </c>
      <c r="H15" s="7">
        <f>1-ProjectTaskRegister[[#This Row],[Progress]]</f>
        <v>1</v>
      </c>
    </row>
    <row r="16" spans="1:8" x14ac:dyDescent="0.3">
      <c r="A16" t="s">
        <v>50</v>
      </c>
      <c r="B16" t="s">
        <v>48</v>
      </c>
      <c r="C16" t="s">
        <v>20</v>
      </c>
      <c r="D16" s="1" t="s">
        <v>51</v>
      </c>
      <c r="E16" t="s">
        <v>17</v>
      </c>
      <c r="F16" s="2">
        <v>0</v>
      </c>
      <c r="G16" s="1" t="s">
        <v>18</v>
      </c>
      <c r="H16" s="7">
        <f>1-ProjectTaskRegister[[#This Row],[Progress]]</f>
        <v>1</v>
      </c>
    </row>
    <row r="17" spans="1:8" x14ac:dyDescent="0.3">
      <c r="A17" t="s">
        <v>52</v>
      </c>
      <c r="B17" t="s">
        <v>48</v>
      </c>
      <c r="C17" t="s">
        <v>23</v>
      </c>
      <c r="D17" s="1" t="s">
        <v>53</v>
      </c>
      <c r="E17" t="s">
        <v>17</v>
      </c>
      <c r="F17" s="2">
        <v>0</v>
      </c>
      <c r="G17" s="1" t="s">
        <v>18</v>
      </c>
      <c r="H17" s="7">
        <f>1-ProjectTaskRegister[[#This Row],[Progress]]</f>
        <v>1</v>
      </c>
    </row>
    <row r="18" spans="1:8" x14ac:dyDescent="0.3">
      <c r="A18" t="s">
        <v>54</v>
      </c>
      <c r="B18" t="s">
        <v>48</v>
      </c>
      <c r="C18" t="s">
        <v>26</v>
      </c>
      <c r="D18" s="1" t="s">
        <v>55</v>
      </c>
      <c r="E18" t="s">
        <v>17</v>
      </c>
      <c r="F18" s="2">
        <v>0</v>
      </c>
      <c r="G18" s="1" t="s">
        <v>18</v>
      </c>
      <c r="H18" s="7">
        <f>1-ProjectTaskRegister[[#This Row],[Progress]]</f>
        <v>1</v>
      </c>
    </row>
    <row r="19" spans="1:8" x14ac:dyDescent="0.3">
      <c r="A19" t="s">
        <v>56</v>
      </c>
      <c r="B19" t="s">
        <v>48</v>
      </c>
      <c r="C19" t="s">
        <v>29</v>
      </c>
      <c r="D19" s="1" t="s">
        <v>57</v>
      </c>
      <c r="E19" t="s">
        <v>17</v>
      </c>
      <c r="F19" s="2">
        <v>0</v>
      </c>
      <c r="G19" s="1" t="s">
        <v>18</v>
      </c>
      <c r="H19" s="7">
        <f>1-ProjectTaskRegister[[#This Row],[Progress]]</f>
        <v>1</v>
      </c>
    </row>
    <row r="20" spans="1:8" x14ac:dyDescent="0.3">
      <c r="A20" t="s">
        <v>58</v>
      </c>
      <c r="B20" t="s">
        <v>48</v>
      </c>
      <c r="C20" t="s">
        <v>32</v>
      </c>
      <c r="D20" s="1" t="s">
        <v>59</v>
      </c>
      <c r="E20" t="s">
        <v>17</v>
      </c>
      <c r="F20" s="2">
        <v>0</v>
      </c>
      <c r="G20" s="1" t="s">
        <v>18</v>
      </c>
      <c r="H20" s="7">
        <f>1-ProjectTaskRegister[[#This Row],[Progress]]</f>
        <v>1</v>
      </c>
    </row>
    <row r="21" spans="1:8" x14ac:dyDescent="0.3">
      <c r="A21" t="s">
        <v>60</v>
      </c>
      <c r="B21" t="s">
        <v>48</v>
      </c>
      <c r="C21" t="s">
        <v>61</v>
      </c>
      <c r="D21" s="1" t="s">
        <v>62</v>
      </c>
      <c r="E21" t="s">
        <v>17</v>
      </c>
      <c r="F21" s="2">
        <v>0</v>
      </c>
      <c r="G21" s="1" t="s">
        <v>18</v>
      </c>
      <c r="H21" s="7">
        <f>1-ProjectTaskRegister[[#This Row],[Progress]]</f>
        <v>1</v>
      </c>
    </row>
    <row r="22" spans="1:8" x14ac:dyDescent="0.3">
      <c r="A22" t="s">
        <v>63</v>
      </c>
      <c r="B22" t="s">
        <v>64</v>
      </c>
      <c r="C22" t="s">
        <v>15</v>
      </c>
      <c r="D22" s="1" t="s">
        <v>65</v>
      </c>
      <c r="E22" t="s">
        <v>17</v>
      </c>
      <c r="F22" s="2">
        <v>0</v>
      </c>
      <c r="G22" s="1" t="s">
        <v>18</v>
      </c>
      <c r="H22" s="7">
        <f>1-ProjectTaskRegister[[#This Row],[Progress]]</f>
        <v>1</v>
      </c>
    </row>
    <row r="23" spans="1:8" x14ac:dyDescent="0.3">
      <c r="A23" t="s">
        <v>66</v>
      </c>
      <c r="B23" t="s">
        <v>64</v>
      </c>
      <c r="C23" t="s">
        <v>20</v>
      </c>
      <c r="D23" s="1" t="s">
        <v>67</v>
      </c>
      <c r="E23" t="s">
        <v>17</v>
      </c>
      <c r="F23" s="2">
        <v>0</v>
      </c>
      <c r="G23" s="1" t="s">
        <v>18</v>
      </c>
      <c r="H23" s="7">
        <f>1-ProjectTaskRegister[[#This Row],[Progress]]</f>
        <v>1</v>
      </c>
    </row>
    <row r="24" spans="1:8" x14ac:dyDescent="0.3">
      <c r="A24" t="s">
        <v>68</v>
      </c>
      <c r="B24" t="s">
        <v>64</v>
      </c>
      <c r="C24" t="s">
        <v>23</v>
      </c>
      <c r="D24" s="1" t="s">
        <v>69</v>
      </c>
      <c r="E24" t="s">
        <v>17</v>
      </c>
      <c r="F24" s="2">
        <v>0</v>
      </c>
      <c r="G24" s="1" t="s">
        <v>18</v>
      </c>
      <c r="H24" s="7">
        <f>1-ProjectTaskRegister[[#This Row],[Progress]]</f>
        <v>1</v>
      </c>
    </row>
    <row r="25" spans="1:8" x14ac:dyDescent="0.3">
      <c r="A25" t="s">
        <v>70</v>
      </c>
      <c r="B25" t="s">
        <v>64</v>
      </c>
      <c r="C25" t="s">
        <v>26</v>
      </c>
      <c r="D25" s="1" t="s">
        <v>71</v>
      </c>
      <c r="E25" t="s">
        <v>17</v>
      </c>
      <c r="F25" s="2">
        <v>0</v>
      </c>
      <c r="G25" s="1" t="s">
        <v>18</v>
      </c>
      <c r="H25" s="7">
        <f>1-ProjectTaskRegister[[#This Row],[Progress]]</f>
        <v>1</v>
      </c>
    </row>
    <row r="26" spans="1:8" x14ac:dyDescent="0.3">
      <c r="A26" t="s">
        <v>72</v>
      </c>
      <c r="B26" t="s">
        <v>64</v>
      </c>
      <c r="C26" t="s">
        <v>29</v>
      </c>
      <c r="D26" s="1" t="s">
        <v>73</v>
      </c>
      <c r="E26" t="s">
        <v>17</v>
      </c>
      <c r="F26" s="2">
        <v>0</v>
      </c>
      <c r="G26" s="1" t="s">
        <v>18</v>
      </c>
      <c r="H26" s="7">
        <f>1-ProjectTaskRegister[[#This Row],[Progress]]</f>
        <v>1</v>
      </c>
    </row>
    <row r="27" spans="1:8" x14ac:dyDescent="0.3">
      <c r="A27" t="s">
        <v>74</v>
      </c>
      <c r="B27" t="s">
        <v>64</v>
      </c>
      <c r="C27" t="s">
        <v>32</v>
      </c>
      <c r="D27" s="1" t="s">
        <v>75</v>
      </c>
      <c r="E27" t="s">
        <v>17</v>
      </c>
      <c r="F27" s="2">
        <v>0</v>
      </c>
      <c r="G27" s="1" t="s">
        <v>18</v>
      </c>
      <c r="H27" s="7">
        <f>1-ProjectTaskRegister[[#This Row],[Progress]]</f>
        <v>1</v>
      </c>
    </row>
    <row r="28" spans="1:8" x14ac:dyDescent="0.3">
      <c r="A28" t="s">
        <v>76</v>
      </c>
      <c r="B28" t="s">
        <v>77</v>
      </c>
      <c r="C28" t="s">
        <v>15</v>
      </c>
      <c r="D28" s="1" t="s">
        <v>78</v>
      </c>
      <c r="E28" t="s">
        <v>17</v>
      </c>
      <c r="F28" s="2">
        <v>0</v>
      </c>
      <c r="G28" s="1" t="s">
        <v>79</v>
      </c>
      <c r="H28" s="7">
        <f>1-ProjectTaskRegister[[#This Row],[Progress]]</f>
        <v>1</v>
      </c>
    </row>
    <row r="29" spans="1:8" ht="28.8" x14ac:dyDescent="0.3">
      <c r="A29" t="s">
        <v>80</v>
      </c>
      <c r="B29" t="s">
        <v>77</v>
      </c>
      <c r="C29" t="s">
        <v>20</v>
      </c>
      <c r="D29" s="1" t="s">
        <v>81</v>
      </c>
      <c r="E29" t="s">
        <v>17</v>
      </c>
      <c r="F29" s="2">
        <v>0</v>
      </c>
      <c r="G29" s="1" t="s">
        <v>18</v>
      </c>
      <c r="H29" s="7">
        <f>1-ProjectTaskRegister[[#This Row],[Progress]]</f>
        <v>1</v>
      </c>
    </row>
    <row r="30" spans="1:8" x14ac:dyDescent="0.3">
      <c r="A30" t="s">
        <v>82</v>
      </c>
      <c r="B30" t="s">
        <v>77</v>
      </c>
      <c r="C30" t="s">
        <v>23</v>
      </c>
      <c r="D30" s="1" t="s">
        <v>83</v>
      </c>
      <c r="E30" t="s">
        <v>17</v>
      </c>
      <c r="F30" s="2">
        <v>0</v>
      </c>
      <c r="G30" s="1" t="s">
        <v>18</v>
      </c>
      <c r="H30" s="7">
        <f>1-ProjectTaskRegister[[#This Row],[Progress]]</f>
        <v>1</v>
      </c>
    </row>
    <row r="31" spans="1:8" x14ac:dyDescent="0.3">
      <c r="A31" t="s">
        <v>84</v>
      </c>
      <c r="B31" t="s">
        <v>77</v>
      </c>
      <c r="C31" t="s">
        <v>26</v>
      </c>
      <c r="D31" s="1" t="s">
        <v>85</v>
      </c>
      <c r="E31" t="s">
        <v>17</v>
      </c>
      <c r="F31" s="2">
        <v>0</v>
      </c>
      <c r="G31" s="1" t="s">
        <v>18</v>
      </c>
      <c r="H31" s="7">
        <f>1-ProjectTaskRegister[[#This Row],[Progress]]</f>
        <v>1</v>
      </c>
    </row>
    <row r="32" spans="1:8" x14ac:dyDescent="0.3">
      <c r="A32" t="s">
        <v>86</v>
      </c>
      <c r="B32" t="s">
        <v>77</v>
      </c>
      <c r="C32" t="s">
        <v>29</v>
      </c>
      <c r="D32" s="1" t="s">
        <v>87</v>
      </c>
      <c r="E32" t="s">
        <v>17</v>
      </c>
      <c r="F32" s="2">
        <v>0</v>
      </c>
      <c r="G32" s="1" t="s">
        <v>18</v>
      </c>
      <c r="H32" s="7">
        <f>1-ProjectTaskRegister[[#This Row],[Progress]]</f>
        <v>1</v>
      </c>
    </row>
    <row r="33" spans="1:8" x14ac:dyDescent="0.3">
      <c r="A33" t="s">
        <v>88</v>
      </c>
      <c r="B33" t="s">
        <v>77</v>
      </c>
      <c r="C33" t="s">
        <v>32</v>
      </c>
      <c r="D33" s="1" t="s">
        <v>89</v>
      </c>
      <c r="E33" t="s">
        <v>17</v>
      </c>
      <c r="F33" s="2">
        <v>0</v>
      </c>
      <c r="G33" s="1" t="s">
        <v>18</v>
      </c>
      <c r="H33" s="7">
        <f>1-ProjectTaskRegister[[#This Row],[Progress]]</f>
        <v>1</v>
      </c>
    </row>
    <row r="34" spans="1:8" x14ac:dyDescent="0.3">
      <c r="A34" t="s">
        <v>90</v>
      </c>
      <c r="B34" t="s">
        <v>91</v>
      </c>
      <c r="C34" t="s">
        <v>15</v>
      </c>
      <c r="D34" s="1" t="s">
        <v>92</v>
      </c>
      <c r="E34" t="s">
        <v>17</v>
      </c>
      <c r="F34" s="2">
        <v>0</v>
      </c>
      <c r="G34" s="1" t="s">
        <v>18</v>
      </c>
      <c r="H34" s="7">
        <f>1-ProjectTaskRegister[[#This Row],[Progress]]</f>
        <v>1</v>
      </c>
    </row>
    <row r="35" spans="1:8" ht="28.8" x14ac:dyDescent="0.3">
      <c r="A35" t="s">
        <v>93</v>
      </c>
      <c r="B35" t="s">
        <v>91</v>
      </c>
      <c r="C35" t="s">
        <v>20</v>
      </c>
      <c r="D35" s="1" t="s">
        <v>94</v>
      </c>
      <c r="E35" t="s">
        <v>95</v>
      </c>
      <c r="F35" s="2">
        <v>0.5</v>
      </c>
      <c r="G35" s="1" t="s">
        <v>96</v>
      </c>
      <c r="H35" s="7">
        <f>1-ProjectTaskRegister[[#This Row],[Progress]]</f>
        <v>0.5</v>
      </c>
    </row>
    <row r="36" spans="1:8" x14ac:dyDescent="0.3">
      <c r="A36" t="s">
        <v>97</v>
      </c>
      <c r="B36" t="s">
        <v>91</v>
      </c>
      <c r="C36" t="s">
        <v>23</v>
      </c>
      <c r="D36" s="1" t="s">
        <v>98</v>
      </c>
      <c r="E36" t="s">
        <v>11</v>
      </c>
      <c r="F36" s="2">
        <v>1</v>
      </c>
      <c r="G36" s="1" t="s">
        <v>99</v>
      </c>
      <c r="H36" s="7">
        <f>1-ProjectTaskRegister[[#This Row],[Progress]]</f>
        <v>0</v>
      </c>
    </row>
    <row r="37" spans="1:8" ht="28.8" x14ac:dyDescent="0.3">
      <c r="A37" t="s">
        <v>100</v>
      </c>
      <c r="B37" t="s">
        <v>91</v>
      </c>
      <c r="C37" t="s">
        <v>26</v>
      </c>
      <c r="D37" s="1" t="s">
        <v>101</v>
      </c>
      <c r="E37" t="s">
        <v>95</v>
      </c>
      <c r="F37" s="2">
        <v>0.5</v>
      </c>
      <c r="G37" s="1" t="s">
        <v>102</v>
      </c>
      <c r="H37" s="7">
        <f>1-ProjectTaskRegister[[#This Row],[Progress]]</f>
        <v>0.5</v>
      </c>
    </row>
    <row r="38" spans="1:8" x14ac:dyDescent="0.3">
      <c r="A38" t="s">
        <v>103</v>
      </c>
      <c r="B38" t="s">
        <v>91</v>
      </c>
      <c r="C38" t="s">
        <v>29</v>
      </c>
      <c r="D38" s="1" t="s">
        <v>104</v>
      </c>
      <c r="E38" t="s">
        <v>17</v>
      </c>
      <c r="F38" s="2">
        <v>0</v>
      </c>
      <c r="G38" s="1" t="s">
        <v>18</v>
      </c>
      <c r="H38" s="7">
        <f>1-ProjectTaskRegister[[#This Row],[Progress]]</f>
        <v>1</v>
      </c>
    </row>
    <row r="39" spans="1:8" x14ac:dyDescent="0.3">
      <c r="A39" t="s">
        <v>105</v>
      </c>
      <c r="B39" t="s">
        <v>91</v>
      </c>
      <c r="C39" t="s">
        <v>32</v>
      </c>
      <c r="D39" s="1" t="s">
        <v>106</v>
      </c>
      <c r="E39" t="s">
        <v>17</v>
      </c>
      <c r="F39" s="2">
        <v>0</v>
      </c>
      <c r="G39" s="1" t="s">
        <v>18</v>
      </c>
      <c r="H39" s="7">
        <f>1-ProjectTaskRegister[[#This Row],[Progress]]</f>
        <v>1</v>
      </c>
    </row>
    <row r="40" spans="1:8" ht="28.8" x14ac:dyDescent="0.3">
      <c r="A40" t="s">
        <v>107</v>
      </c>
      <c r="B40" t="s">
        <v>91</v>
      </c>
      <c r="C40" t="s">
        <v>61</v>
      </c>
      <c r="D40" s="1" t="s">
        <v>108</v>
      </c>
      <c r="E40" t="s">
        <v>95</v>
      </c>
      <c r="F40" s="2">
        <v>0.2</v>
      </c>
      <c r="G40" s="1" t="s">
        <v>217</v>
      </c>
      <c r="H40" s="7">
        <f>1-ProjectTaskRegister[[#This Row],[Progress]]</f>
        <v>0.8</v>
      </c>
    </row>
    <row r="41" spans="1:8" ht="28.8" x14ac:dyDescent="0.3">
      <c r="A41" t="s">
        <v>109</v>
      </c>
      <c r="B41" t="s">
        <v>91</v>
      </c>
      <c r="C41" t="s">
        <v>110</v>
      </c>
      <c r="D41" s="1" t="s">
        <v>111</v>
      </c>
      <c r="E41" t="s">
        <v>95</v>
      </c>
      <c r="F41" s="2">
        <v>0.5</v>
      </c>
      <c r="G41" s="1" t="s">
        <v>112</v>
      </c>
      <c r="H41" s="7">
        <f>1-ProjectTaskRegister[[#This Row],[Progress]]</f>
        <v>0.5</v>
      </c>
    </row>
    <row r="42" spans="1:8" x14ac:dyDescent="0.3">
      <c r="A42" t="s">
        <v>113</v>
      </c>
      <c r="B42" t="s">
        <v>114</v>
      </c>
      <c r="C42" t="s">
        <v>15</v>
      </c>
      <c r="D42" s="1" t="s">
        <v>115</v>
      </c>
      <c r="E42" t="s">
        <v>17</v>
      </c>
      <c r="F42" s="2">
        <v>0</v>
      </c>
      <c r="G42" s="1" t="s">
        <v>18</v>
      </c>
      <c r="H42" s="7">
        <f>1-ProjectTaskRegister[[#This Row],[Progress]]</f>
        <v>1</v>
      </c>
    </row>
    <row r="43" spans="1:8" x14ac:dyDescent="0.3">
      <c r="A43" t="s">
        <v>116</v>
      </c>
      <c r="B43" t="s">
        <v>114</v>
      </c>
      <c r="C43" t="s">
        <v>20</v>
      </c>
      <c r="D43" s="1" t="s">
        <v>117</v>
      </c>
      <c r="E43" t="s">
        <v>17</v>
      </c>
      <c r="F43" s="2">
        <v>0</v>
      </c>
      <c r="G43" s="1" t="s">
        <v>18</v>
      </c>
      <c r="H43" s="7">
        <f>1-ProjectTaskRegister[[#This Row],[Progress]]</f>
        <v>1</v>
      </c>
    </row>
    <row r="44" spans="1:8" x14ac:dyDescent="0.3">
      <c r="A44" t="s">
        <v>118</v>
      </c>
      <c r="B44" t="s">
        <v>114</v>
      </c>
      <c r="C44" t="s">
        <v>23</v>
      </c>
      <c r="D44" s="1" t="s">
        <v>119</v>
      </c>
      <c r="E44" t="s">
        <v>17</v>
      </c>
      <c r="F44" s="2">
        <v>0</v>
      </c>
      <c r="G44" s="1" t="s">
        <v>18</v>
      </c>
      <c r="H44" s="7">
        <f>1-ProjectTaskRegister[[#This Row],[Progress]]</f>
        <v>1</v>
      </c>
    </row>
    <row r="45" spans="1:8" x14ac:dyDescent="0.3">
      <c r="A45" t="s">
        <v>120</v>
      </c>
      <c r="B45" t="s">
        <v>114</v>
      </c>
      <c r="C45" t="s">
        <v>26</v>
      </c>
      <c r="D45" s="1" t="s">
        <v>121</v>
      </c>
      <c r="E45" t="s">
        <v>17</v>
      </c>
      <c r="F45" s="2">
        <v>0</v>
      </c>
      <c r="G45" s="1" t="s">
        <v>18</v>
      </c>
      <c r="H45" s="7">
        <f>1-ProjectTaskRegister[[#This Row],[Progress]]</f>
        <v>1</v>
      </c>
    </row>
    <row r="46" spans="1:8" x14ac:dyDescent="0.3">
      <c r="A46" t="s">
        <v>122</v>
      </c>
      <c r="B46" t="s">
        <v>114</v>
      </c>
      <c r="C46" t="s">
        <v>29</v>
      </c>
      <c r="D46" s="1" t="s">
        <v>123</v>
      </c>
      <c r="E46" t="s">
        <v>17</v>
      </c>
      <c r="F46" s="2">
        <v>0</v>
      </c>
      <c r="G46" s="1" t="s">
        <v>18</v>
      </c>
      <c r="H46" s="7">
        <f>1-ProjectTaskRegister[[#This Row],[Progress]]</f>
        <v>1</v>
      </c>
    </row>
    <row r="47" spans="1:8" x14ac:dyDescent="0.3">
      <c r="A47" t="s">
        <v>124</v>
      </c>
      <c r="B47" t="s">
        <v>114</v>
      </c>
      <c r="C47" t="s">
        <v>32</v>
      </c>
      <c r="D47" s="1" t="s">
        <v>125</v>
      </c>
      <c r="E47" t="s">
        <v>17</v>
      </c>
      <c r="F47" s="2">
        <v>0</v>
      </c>
      <c r="G47" s="1" t="s">
        <v>18</v>
      </c>
      <c r="H47" s="7">
        <f>1-ProjectTaskRegister[[#This Row],[Progress]]</f>
        <v>1</v>
      </c>
    </row>
    <row r="48" spans="1:8" x14ac:dyDescent="0.3">
      <c r="A48" t="s">
        <v>126</v>
      </c>
      <c r="B48" t="s">
        <v>114</v>
      </c>
      <c r="C48" t="s">
        <v>61</v>
      </c>
      <c r="D48" s="1" t="s">
        <v>127</v>
      </c>
      <c r="E48" t="s">
        <v>17</v>
      </c>
      <c r="F48" s="2">
        <v>0</v>
      </c>
      <c r="G48" s="1" t="s">
        <v>18</v>
      </c>
      <c r="H48" s="7">
        <f>1-ProjectTaskRegister[[#This Row],[Progress]]</f>
        <v>1</v>
      </c>
    </row>
  </sheetData>
  <dataValidations count="2">
    <dataValidation type="list" allowBlank="1" showInputMessage="1" showErrorMessage="1" errorTitle="Choose a listed status" error="Select Completed, Pending, or Ongoing so the summary tabs update correctly." sqref="E2:E1001" xr:uid="{3BD9DA88-556D-42C6-B6DD-7409C6AFE4DD}">
      <formula1>"Completed,Pending,Ongoing"</formula1>
    </dataValidation>
    <dataValidation type="decimal" allowBlank="1" showInputMessage="1" showErrorMessage="1" errorTitle="Progress must be a percentage" error="Enter a value from 0% to 100%." sqref="F2:F1001" xr:uid="{33CBAF50-D9A6-42E6-AD14-F86852A3E4EF}">
      <formula1>0</formula1>
      <formula2>1</formula2>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C375-8138-4081-A860-0A97D7C7C077}">
  <dimension ref="A1:F12"/>
  <sheetViews>
    <sheetView tabSelected="1" workbookViewId="0"/>
  </sheetViews>
  <sheetFormatPr defaultRowHeight="14.4" x14ac:dyDescent="0.3"/>
  <cols>
    <col min="1" max="1" width="25.77734375" customWidth="1"/>
    <col min="2" max="2" width="115.77734375" customWidth="1"/>
  </cols>
  <sheetData>
    <row r="1" spans="1:6" ht="25.8" x14ac:dyDescent="0.5">
      <c r="A1" s="42" t="s">
        <v>489</v>
      </c>
      <c r="B1" s="38"/>
      <c r="C1" s="38"/>
      <c r="D1" s="38"/>
      <c r="E1" s="38"/>
      <c r="F1" s="38"/>
    </row>
    <row r="3" spans="1:6" ht="42" customHeight="1" x14ac:dyDescent="0.3">
      <c r="A3" s="31" t="s">
        <v>490</v>
      </c>
      <c r="B3" s="1" t="s">
        <v>491</v>
      </c>
    </row>
    <row r="4" spans="1:6" ht="42" customHeight="1" x14ac:dyDescent="0.3">
      <c r="A4" s="31" t="s">
        <v>492</v>
      </c>
      <c r="B4" s="1" t="s">
        <v>493</v>
      </c>
    </row>
    <row r="5" spans="1:6" ht="42" customHeight="1" x14ac:dyDescent="0.3">
      <c r="A5" s="31" t="s">
        <v>494</v>
      </c>
      <c r="B5" s="1" t="s">
        <v>495</v>
      </c>
    </row>
    <row r="6" spans="1:6" ht="42" customHeight="1" x14ac:dyDescent="0.3">
      <c r="A6" s="31" t="s">
        <v>496</v>
      </c>
      <c r="B6" s="1" t="s">
        <v>497</v>
      </c>
    </row>
    <row r="7" spans="1:6" ht="42" customHeight="1" x14ac:dyDescent="0.3">
      <c r="A7" s="31" t="s">
        <v>498</v>
      </c>
      <c r="B7" s="1" t="s">
        <v>499</v>
      </c>
    </row>
    <row r="8" spans="1:6" ht="42" customHeight="1" x14ac:dyDescent="0.3">
      <c r="A8" s="31" t="s">
        <v>500</v>
      </c>
      <c r="B8" s="1" t="s">
        <v>501</v>
      </c>
    </row>
    <row r="9" spans="1:6" ht="42" customHeight="1" x14ac:dyDescent="0.3">
      <c r="A9" s="31" t="s">
        <v>502</v>
      </c>
      <c r="B9" s="1" t="s">
        <v>503</v>
      </c>
    </row>
    <row r="10" spans="1:6" ht="42" customHeight="1" x14ac:dyDescent="0.3">
      <c r="A10" s="31" t="s">
        <v>504</v>
      </c>
      <c r="B10" s="1" t="s">
        <v>505</v>
      </c>
    </row>
    <row r="11" spans="1:6" ht="42" customHeight="1" x14ac:dyDescent="0.3">
      <c r="A11" s="31"/>
      <c r="B11" s="1"/>
    </row>
    <row r="12" spans="1:6" ht="42" customHeight="1" x14ac:dyDescent="0.3">
      <c r="A12" s="31" t="s">
        <v>506</v>
      </c>
      <c r="B12" s="1" t="s">
        <v>507</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EA12-7C28-458F-8967-8AA556C5695A}">
  <dimension ref="A1:K13"/>
  <sheetViews>
    <sheetView workbookViewId="0"/>
  </sheetViews>
  <sheetFormatPr defaultRowHeight="14.4" x14ac:dyDescent="0.3"/>
  <cols>
    <col min="1" max="1" width="47.77734375" customWidth="1"/>
    <col min="2" max="2" width="10.77734375" customWidth="1"/>
    <col min="3" max="5" width="12.77734375" customWidth="1"/>
    <col min="6" max="7" width="17.77734375" customWidth="1"/>
    <col min="8" max="8" width="16.77734375" customWidth="1"/>
    <col min="9" max="9" width="19.77734375" customWidth="1"/>
    <col min="10" max="10" width="23.77734375" customWidth="1"/>
    <col min="11" max="11" width="95.77734375" customWidth="1"/>
  </cols>
  <sheetData>
    <row r="1" spans="1:11" ht="25.8" x14ac:dyDescent="0.5">
      <c r="A1" s="42" t="s">
        <v>472</v>
      </c>
      <c r="B1" s="38"/>
      <c r="C1" s="38"/>
      <c r="D1" s="38"/>
      <c r="E1" s="38"/>
      <c r="F1" s="38"/>
      <c r="G1" s="38"/>
      <c r="H1" s="38"/>
      <c r="I1" s="38"/>
      <c r="J1" s="38"/>
      <c r="K1" s="38"/>
    </row>
    <row r="2" spans="1:11" ht="36" customHeight="1" x14ac:dyDescent="0.3">
      <c r="A2" s="35" t="s">
        <v>473</v>
      </c>
      <c r="B2" s="35"/>
      <c r="C2" s="35"/>
      <c r="D2" s="35"/>
      <c r="E2" s="35"/>
      <c r="F2" s="35"/>
      <c r="G2" s="35"/>
      <c r="H2" s="35"/>
      <c r="I2" s="35"/>
      <c r="J2" s="35"/>
      <c r="K2" s="35"/>
    </row>
    <row r="4" spans="1:11" ht="42" customHeight="1" x14ac:dyDescent="0.3">
      <c r="A4" s="1" t="s">
        <v>1</v>
      </c>
      <c r="B4" s="1" t="s">
        <v>474</v>
      </c>
      <c r="C4" s="1" t="s">
        <v>11</v>
      </c>
      <c r="D4" s="1" t="s">
        <v>95</v>
      </c>
      <c r="E4" s="1" t="s">
        <v>17</v>
      </c>
      <c r="F4" s="1" t="s">
        <v>475</v>
      </c>
      <c r="G4" s="1" t="s">
        <v>147</v>
      </c>
      <c r="H4" s="1" t="s">
        <v>476</v>
      </c>
      <c r="I4" s="1" t="s">
        <v>477</v>
      </c>
      <c r="J4" s="1" t="s">
        <v>478</v>
      </c>
      <c r="K4" s="1" t="s">
        <v>479</v>
      </c>
    </row>
    <row r="5" spans="1:11" ht="55.95" customHeight="1" x14ac:dyDescent="0.3">
      <c r="A5" s="1" t="s">
        <v>14</v>
      </c>
      <c r="B5" s="1">
        <f>COUNTIF('Task Register'!$B$2:$B$1001,A5)</f>
        <v>6</v>
      </c>
      <c r="C5" s="1">
        <f>COUNTIFS('Task Register'!$B$2:$B$1001,A5,'Task Register'!$E$2:$E$1001,"Completed")</f>
        <v>1</v>
      </c>
      <c r="D5" s="1">
        <f>COUNTIFS('Task Register'!$B$2:$B$1001,A5,'Task Register'!$E$2:$E$1001,"Ongoing")</f>
        <v>5</v>
      </c>
      <c r="E5" s="1">
        <f>COUNTIFS('Task Register'!$B$2:$B$1001,A5,'Task Register'!$E$2:$E$1001,"Pending")</f>
        <v>0</v>
      </c>
      <c r="F5" s="7">
        <f>IFERROR(AVERAGEIF('Task Register'!$B$2:$B$1001,A5,'Task Register'!$F$2:$F$1001),0)</f>
        <v>0.31666666666666671</v>
      </c>
      <c r="G5" s="7">
        <f>1-F5</f>
        <v>0.68333333333333335</v>
      </c>
      <c r="H5" s="1">
        <f>COUNTIFS('Task Register'!$B$2:$B$1001,A5,'Task Register'!$F$2:$F$1001,"&gt;=1")</f>
        <v>1</v>
      </c>
      <c r="I5" s="1" t="s">
        <v>480</v>
      </c>
      <c r="J5" s="1" t="str">
        <f>IF(B5=0,"No tasks",IF(AND(C5=B5,H5=B5,I5="Yes"),"Complete",IF(AND(C5=B5,H5=B5),"Ready for exit review",IF(SUMIF('Task Register'!$B$2:$B$1001,A5,'Task Register'!$F$2:$F$1001)=0,"Not started","In progress"))))</f>
        <v>In progress</v>
      </c>
      <c r="K5" s="1" t="s">
        <v>481</v>
      </c>
    </row>
    <row r="6" spans="1:11" ht="55.95" customHeight="1" x14ac:dyDescent="0.3">
      <c r="A6" s="1" t="s">
        <v>35</v>
      </c>
      <c r="B6" s="1">
        <f>COUNTIF('Task Register'!$B$2:$B$1001,A6)</f>
        <v>6</v>
      </c>
      <c r="C6" s="1">
        <f>COUNTIFS('Task Register'!$B$2:$B$1001,A6,'Task Register'!$E$2:$E$1001,"Completed")</f>
        <v>0</v>
      </c>
      <c r="D6" s="1">
        <f>COUNTIFS('Task Register'!$B$2:$B$1001,A6,'Task Register'!$E$2:$E$1001,"Ongoing")</f>
        <v>5</v>
      </c>
      <c r="E6" s="1">
        <f>COUNTIFS('Task Register'!$B$2:$B$1001,A6,'Task Register'!$E$2:$E$1001,"Pending")</f>
        <v>1</v>
      </c>
      <c r="F6" s="7">
        <f>IFERROR(AVERAGEIF('Task Register'!$B$2:$B$1001,A6,'Task Register'!$F$2:$F$1001),0)</f>
        <v>0.20833333333333334</v>
      </c>
      <c r="G6" s="7">
        <f>1-F6</f>
        <v>0.79166666666666663</v>
      </c>
      <c r="H6" s="1">
        <f>COUNTIFS('Task Register'!$B$2:$B$1001,A6,'Task Register'!$F$2:$F$1001,"&gt;=1")</f>
        <v>0</v>
      </c>
      <c r="I6" s="1" t="s">
        <v>480</v>
      </c>
      <c r="J6" s="1" t="str">
        <f>IF(B6=0,"No tasks",IF(AND(C6=B6,H6=B6,I6="Yes"),"Complete",IF(AND(C6=B6,H6=B6),"Ready for exit review",IF(SUMIF('Task Register'!$B$2:$B$1001,A6,'Task Register'!$F$2:$F$1001)=0,"Not started","In progress"))))</f>
        <v>In progress</v>
      </c>
      <c r="K6" s="1" t="s">
        <v>482</v>
      </c>
    </row>
    <row r="7" spans="1:11" ht="55.95" customHeight="1" x14ac:dyDescent="0.3">
      <c r="A7" s="1" t="s">
        <v>48</v>
      </c>
      <c r="B7" s="1">
        <f>COUNTIF('Task Register'!$B$2:$B$1001,A7)</f>
        <v>7</v>
      </c>
      <c r="C7" s="1">
        <f>COUNTIFS('Task Register'!$B$2:$B$1001,A7,'Task Register'!$E$2:$E$1001,"Completed")</f>
        <v>0</v>
      </c>
      <c r="D7" s="1">
        <f>COUNTIFS('Task Register'!$B$2:$B$1001,A7,'Task Register'!$E$2:$E$1001,"Ongoing")</f>
        <v>0</v>
      </c>
      <c r="E7" s="1">
        <f>COUNTIFS('Task Register'!$B$2:$B$1001,A7,'Task Register'!$E$2:$E$1001,"Pending")</f>
        <v>7</v>
      </c>
      <c r="F7" s="7">
        <f>IFERROR(AVERAGEIF('Task Register'!$B$2:$B$1001,A7,'Task Register'!$F$2:$F$1001),0)</f>
        <v>0</v>
      </c>
      <c r="G7" s="7">
        <f>1-F7</f>
        <v>1</v>
      </c>
      <c r="H7" s="1">
        <f>COUNTIFS('Task Register'!$B$2:$B$1001,A7,'Task Register'!$F$2:$F$1001,"&gt;=1")</f>
        <v>0</v>
      </c>
      <c r="I7" s="1" t="s">
        <v>480</v>
      </c>
      <c r="J7" s="1" t="str">
        <f>IF(B7=0,"No tasks",IF(AND(C7=B7,H7=B7,I7="Yes"),"Complete",IF(AND(C7=B7,H7=B7),"Ready for exit review",IF(SUMIF('Task Register'!$B$2:$B$1001,A7,'Task Register'!$F$2:$F$1001)=0,"Not started","In progress"))))</f>
        <v>Not started</v>
      </c>
      <c r="K7" s="1" t="s">
        <v>483</v>
      </c>
    </row>
    <row r="8" spans="1:11" ht="55.95" customHeight="1" x14ac:dyDescent="0.3">
      <c r="A8" s="1" t="s">
        <v>64</v>
      </c>
      <c r="B8" s="1">
        <f>COUNTIF('Task Register'!$B$2:$B$1001,A8)</f>
        <v>6</v>
      </c>
      <c r="C8" s="1">
        <f>COUNTIFS('Task Register'!$B$2:$B$1001,A8,'Task Register'!$E$2:$E$1001,"Completed")</f>
        <v>0</v>
      </c>
      <c r="D8" s="1">
        <f>COUNTIFS('Task Register'!$B$2:$B$1001,A8,'Task Register'!$E$2:$E$1001,"Ongoing")</f>
        <v>0</v>
      </c>
      <c r="E8" s="1">
        <f>COUNTIFS('Task Register'!$B$2:$B$1001,A8,'Task Register'!$E$2:$E$1001,"Pending")</f>
        <v>6</v>
      </c>
      <c r="F8" s="7">
        <f>IFERROR(AVERAGEIF('Task Register'!$B$2:$B$1001,A8,'Task Register'!$F$2:$F$1001),0)</f>
        <v>0</v>
      </c>
      <c r="G8" s="7">
        <f>1-F8</f>
        <v>1</v>
      </c>
      <c r="H8" s="1">
        <f>COUNTIFS('Task Register'!$B$2:$B$1001,A8,'Task Register'!$F$2:$F$1001,"&gt;=1")</f>
        <v>0</v>
      </c>
      <c r="I8" s="1" t="s">
        <v>480</v>
      </c>
      <c r="J8" s="1" t="str">
        <f>IF(B8=0,"No tasks",IF(AND(C8=B8,H8=B8,I8="Yes"),"Complete",IF(AND(C8=B8,H8=B8),"Ready for exit review",IF(SUMIF('Task Register'!$B$2:$B$1001,A8,'Task Register'!$F$2:$F$1001)=0,"Not started","In progress"))))</f>
        <v>Not started</v>
      </c>
      <c r="K8" s="1" t="s">
        <v>484</v>
      </c>
    </row>
    <row r="9" spans="1:11" ht="55.95" customHeight="1" x14ac:dyDescent="0.3">
      <c r="A9" s="1" t="s">
        <v>77</v>
      </c>
      <c r="B9" s="1">
        <f>COUNTIF('Task Register'!$B$2:$B$1001,A9)</f>
        <v>6</v>
      </c>
      <c r="C9" s="1">
        <f>COUNTIFS('Task Register'!$B$2:$B$1001,A9,'Task Register'!$E$2:$E$1001,"Completed")</f>
        <v>0</v>
      </c>
      <c r="D9" s="1">
        <f>COUNTIFS('Task Register'!$B$2:$B$1001,A9,'Task Register'!$E$2:$E$1001,"Ongoing")</f>
        <v>0</v>
      </c>
      <c r="E9" s="1">
        <f>COUNTIFS('Task Register'!$B$2:$B$1001,A9,'Task Register'!$E$2:$E$1001,"Pending")</f>
        <v>6</v>
      </c>
      <c r="F9" s="7">
        <f>IFERROR(AVERAGEIF('Task Register'!$B$2:$B$1001,A9,'Task Register'!$F$2:$F$1001),0)</f>
        <v>0</v>
      </c>
      <c r="G9" s="7">
        <f>1-F9</f>
        <v>1</v>
      </c>
      <c r="H9" s="1">
        <f>COUNTIFS('Task Register'!$B$2:$B$1001,A9,'Task Register'!$F$2:$F$1001,"&gt;=1")</f>
        <v>0</v>
      </c>
      <c r="I9" s="1" t="s">
        <v>480</v>
      </c>
      <c r="J9" s="1" t="str">
        <f>IF(B9=0,"No tasks",IF(AND(C9=B9,H9=B9,I9="Yes"),"Complete",IF(AND(C9=B9,H9=B9),"Ready for exit review",IF(SUMIF('Task Register'!$B$2:$B$1001,A9,'Task Register'!$F$2:$F$1001)=0,"Not started","In progress"))))</f>
        <v>Not started</v>
      </c>
      <c r="K9" s="1" t="s">
        <v>485</v>
      </c>
    </row>
    <row r="10" spans="1:11" ht="55.95" customHeight="1" x14ac:dyDescent="0.3">
      <c r="A10" s="1" t="s">
        <v>91</v>
      </c>
      <c r="B10" s="1">
        <f>COUNTIF('Task Register'!$B$2:$B$1001,A10)</f>
        <v>8</v>
      </c>
      <c r="C10" s="1">
        <f>COUNTIFS('Task Register'!$B$2:$B$1001,A10,'Task Register'!$E$2:$E$1001,"Completed")</f>
        <v>1</v>
      </c>
      <c r="D10" s="1">
        <f>COUNTIFS('Task Register'!$B$2:$B$1001,A10,'Task Register'!$E$2:$E$1001,"Ongoing")</f>
        <v>4</v>
      </c>
      <c r="E10" s="1">
        <f>COUNTIFS('Task Register'!$B$2:$B$1001,A10,'Task Register'!$E$2:$E$1001,"Pending")</f>
        <v>3</v>
      </c>
      <c r="F10" s="7">
        <f>IFERROR(AVERAGEIF('Task Register'!$B$2:$B$1001,A10,'Task Register'!$F$2:$F$1001),0)</f>
        <v>0.33750000000000002</v>
      </c>
      <c r="G10" s="7">
        <f>1-F10</f>
        <v>0.66249999999999998</v>
      </c>
      <c r="H10" s="1">
        <f>COUNTIFS('Task Register'!$B$2:$B$1001,A10,'Task Register'!$F$2:$F$1001,"&gt;=1")</f>
        <v>1</v>
      </c>
      <c r="I10" s="1" t="s">
        <v>480</v>
      </c>
      <c r="J10" s="1" t="str">
        <f>IF(B10=0,"No tasks",IF(AND(C10=B10,H10=B10,I10="Yes"),"Complete",IF(AND(C10=B10,H10=B10),"Ready for exit review",IF(SUMIF('Task Register'!$B$2:$B$1001,A10,'Task Register'!$F$2:$F$1001)=0,"Not started","In progress"))))</f>
        <v>In progress</v>
      </c>
      <c r="K10" s="1" t="s">
        <v>486</v>
      </c>
    </row>
    <row r="11" spans="1:11" ht="55.95" customHeight="1" x14ac:dyDescent="0.3">
      <c r="A11" s="1" t="s">
        <v>114</v>
      </c>
      <c r="B11" s="1">
        <f>COUNTIF('Task Register'!$B$2:$B$1001,A11)</f>
        <v>7</v>
      </c>
      <c r="C11" s="1">
        <f>COUNTIFS('Task Register'!$B$2:$B$1001,A11,'Task Register'!$E$2:$E$1001,"Completed")</f>
        <v>0</v>
      </c>
      <c r="D11" s="1">
        <f>COUNTIFS('Task Register'!$B$2:$B$1001,A11,'Task Register'!$E$2:$E$1001,"Ongoing")</f>
        <v>0</v>
      </c>
      <c r="E11" s="1">
        <f>COUNTIFS('Task Register'!$B$2:$B$1001,A11,'Task Register'!$E$2:$E$1001,"Pending")</f>
        <v>7</v>
      </c>
      <c r="F11" s="7">
        <f>IFERROR(AVERAGEIF('Task Register'!$B$2:$B$1001,A11,'Task Register'!$F$2:$F$1001),0)</f>
        <v>0</v>
      </c>
      <c r="G11" s="7">
        <f>1-F11</f>
        <v>1</v>
      </c>
      <c r="H11" s="1">
        <f>COUNTIFS('Task Register'!$B$2:$B$1001,A11,'Task Register'!$F$2:$F$1001,"&gt;=1")</f>
        <v>0</v>
      </c>
      <c r="I11" s="1" t="s">
        <v>480</v>
      </c>
      <c r="J11" s="1" t="str">
        <f>IF(B11=0,"No tasks",IF(AND(C11=B11,H11=B11,I11="Yes"),"Complete",IF(AND(C11=B11,H11=B11),"Ready for exit review",IF(SUMIF('Task Register'!$B$2:$B$1001,A11,'Task Register'!$F$2:$F$1001)=0,"Not started","In progress"))))</f>
        <v>Not started</v>
      </c>
      <c r="K11" s="1" t="s">
        <v>487</v>
      </c>
    </row>
    <row r="13" spans="1:11" ht="36" customHeight="1" x14ac:dyDescent="0.3">
      <c r="A13" s="35" t="s">
        <v>488</v>
      </c>
      <c r="B13" s="35"/>
      <c r="C13" s="35"/>
      <c r="D13" s="35"/>
      <c r="E13" s="35"/>
      <c r="F13" s="35"/>
      <c r="G13" s="35"/>
      <c r="H13" s="35"/>
      <c r="I13" s="35"/>
      <c r="J13" s="35"/>
      <c r="K13" s="35"/>
    </row>
  </sheetData>
  <mergeCells count="3">
    <mergeCell ref="A1:K1"/>
    <mergeCell ref="A2:K2"/>
    <mergeCell ref="A13:K13"/>
  </mergeCells>
  <dataValidations count="1">
    <dataValidation type="list" allowBlank="1" showInputMessage="1" showErrorMessage="1" errorTitle="Verify exit check" error="Select Yes only after the phase exit criterion is supported by evidence." sqref="I5:I11" xr:uid="{BA00414A-1F3A-4F5E-BA29-EA51EB6CB723}">
      <formula1>"No,Yes"</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3232-1EF0-421B-B840-5687FC7867EC}">
  <dimension ref="A1:F19"/>
  <sheetViews>
    <sheetView workbookViewId="0"/>
  </sheetViews>
  <sheetFormatPr defaultRowHeight="14.4" x14ac:dyDescent="0.3"/>
  <cols>
    <col min="1" max="1" width="27.77734375" customWidth="1"/>
    <col min="2" max="2" width="16.77734375" customWidth="1"/>
    <col min="3" max="3" width="4.77734375" customWidth="1"/>
    <col min="4" max="4" width="30.77734375" customWidth="1"/>
    <col min="5" max="5" width="18.77734375" customWidth="1"/>
    <col min="6" max="6" width="14.77734375" customWidth="1"/>
  </cols>
  <sheetData>
    <row r="1" spans="1:6" ht="25.8" x14ac:dyDescent="0.5">
      <c r="A1" s="42" t="s">
        <v>128</v>
      </c>
      <c r="B1" s="43"/>
      <c r="C1" s="43"/>
      <c r="D1" s="43"/>
      <c r="E1" s="43"/>
      <c r="F1" s="43"/>
    </row>
    <row r="2" spans="1:6" x14ac:dyDescent="0.3">
      <c r="A2" s="44" t="s">
        <v>129</v>
      </c>
      <c r="B2" s="39"/>
      <c r="C2" s="39"/>
      <c r="D2" s="39"/>
      <c r="E2" s="39"/>
      <c r="F2" s="39"/>
    </row>
    <row r="4" spans="1:6" x14ac:dyDescent="0.3">
      <c r="A4" s="3" t="s">
        <v>4</v>
      </c>
      <c r="B4" s="3" t="s">
        <v>130</v>
      </c>
      <c r="D4" s="3" t="s">
        <v>131</v>
      </c>
      <c r="E4" s="3" t="s">
        <v>132</v>
      </c>
    </row>
    <row r="5" spans="1:6" x14ac:dyDescent="0.3">
      <c r="A5" t="s">
        <v>11</v>
      </c>
      <c r="B5">
        <f>COUNTIF('Task Register'!E:E,A5)</f>
        <v>3</v>
      </c>
      <c r="D5" t="s">
        <v>149</v>
      </c>
      <c r="E5" s="2">
        <f>IFERROR(AVERAGE('Task Register'!F2:F1001),0)</f>
        <v>0.14574468085106385</v>
      </c>
    </row>
    <row r="6" spans="1:6" x14ac:dyDescent="0.3">
      <c r="A6" t="s">
        <v>95</v>
      </c>
      <c r="B6">
        <f>COUNTIF('Task Register'!E:E,A6)</f>
        <v>14</v>
      </c>
      <c r="D6" t="s">
        <v>133</v>
      </c>
      <c r="E6">
        <f>COUNTA('Task Register'!A2:A1001)</f>
        <v>47</v>
      </c>
    </row>
    <row r="7" spans="1:6" x14ac:dyDescent="0.3">
      <c r="A7" t="s">
        <v>17</v>
      </c>
      <c r="B7">
        <f>COUNTIF('Task Register'!E:E,A7)</f>
        <v>30</v>
      </c>
      <c r="D7" t="s">
        <v>147</v>
      </c>
      <c r="E7" s="2">
        <f>1-E5</f>
        <v>0.85425531914893615</v>
      </c>
    </row>
    <row r="10" spans="1:6" ht="18" x14ac:dyDescent="0.35">
      <c r="A10" s="45" t="s">
        <v>134</v>
      </c>
      <c r="B10" s="39"/>
      <c r="C10" s="39"/>
      <c r="D10" s="39"/>
      <c r="E10" s="39"/>
      <c r="F10" s="39"/>
    </row>
    <row r="11" spans="1:6" ht="45" customHeight="1" x14ac:dyDescent="0.3">
      <c r="A11" s="35" t="s">
        <v>150</v>
      </c>
      <c r="B11" s="35"/>
      <c r="C11" s="35"/>
      <c r="D11" s="35"/>
      <c r="E11" s="35"/>
      <c r="F11" s="35"/>
    </row>
    <row r="13" spans="1:6" ht="18" x14ac:dyDescent="0.35">
      <c r="A13" s="45" t="s">
        <v>135</v>
      </c>
      <c r="B13" s="39"/>
      <c r="C13" s="39"/>
      <c r="D13" s="39"/>
      <c r="E13" s="39"/>
      <c r="F13" s="39"/>
    </row>
    <row r="14" spans="1:6" ht="42" customHeight="1" x14ac:dyDescent="0.3">
      <c r="A14" s="35" t="s">
        <v>136</v>
      </c>
      <c r="B14" s="35"/>
      <c r="C14" s="35"/>
      <c r="D14" s="35"/>
      <c r="E14" s="35"/>
      <c r="F14" s="35"/>
    </row>
    <row r="16" spans="1:6" ht="34.950000000000003" customHeight="1" x14ac:dyDescent="0.3">
      <c r="A16" s="35" t="s">
        <v>137</v>
      </c>
      <c r="B16" s="35"/>
      <c r="C16" s="35"/>
      <c r="D16" s="35"/>
      <c r="E16" s="35"/>
      <c r="F16" s="35"/>
    </row>
    <row r="18" spans="1:6" ht="18" x14ac:dyDescent="0.35">
      <c r="A18" s="45" t="s">
        <v>508</v>
      </c>
      <c r="B18" s="39"/>
      <c r="C18" s="39"/>
      <c r="D18" s="39"/>
      <c r="E18" s="39"/>
      <c r="F18" s="39"/>
    </row>
    <row r="19" spans="1:6" ht="36" customHeight="1" x14ac:dyDescent="0.3">
      <c r="A19" s="35" t="s">
        <v>509</v>
      </c>
      <c r="B19" s="35"/>
      <c r="C19" s="35"/>
      <c r="D19" s="35"/>
      <c r="E19" s="35"/>
      <c r="F19" s="35"/>
    </row>
  </sheetData>
  <mergeCells count="9">
    <mergeCell ref="A18:F18"/>
    <mergeCell ref="A19:F19"/>
    <mergeCell ref="A16:F16"/>
    <mergeCell ref="A1:F1"/>
    <mergeCell ref="A2:F2"/>
    <mergeCell ref="A10:F10"/>
    <mergeCell ref="A11:F11"/>
    <mergeCell ref="A13:F13"/>
    <mergeCell ref="A14:F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Practice Status</vt:lpstr>
      <vt:lpstr>Practice Roster</vt:lpstr>
      <vt:lpstr>Practice Synthesis</vt:lpstr>
      <vt:lpstr>Practice Responses</vt:lpstr>
      <vt:lpstr>Practice Guide</vt:lpstr>
      <vt:lpstr>Interview Synthesis</vt:lpstr>
      <vt:lpstr>Interview Log</vt:lpstr>
      <vt:lpstr>Ongoing</vt:lpstr>
      <vt:lpstr>Pending</vt:lpstr>
      <vt:lpstr>Completed</vt:lpstr>
      <vt:lpstr>Pivot Tables</vt:lpstr>
      <vt:lpstr>Task Register</vt:lpstr>
      <vt:lpstr>Update Guide</vt:lpstr>
      <vt:lpstr>Phase Tracker</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Security Professional</dc:creator>
  <cp:lastModifiedBy>Security Professional</cp:lastModifiedBy>
  <dcterms:created xsi:type="dcterms:W3CDTF">2026-10-02T16:44:51Z</dcterms:created>
  <dcterms:modified xsi:type="dcterms:W3CDTF">2026-10-02T20:32:02Z</dcterms:modified>
</cp:coreProperties>
</file>